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a7b2b0e4a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bf884869f8b4862"/>
    <x:sheet xmlns:r="http://schemas.openxmlformats.org/officeDocument/2006/relationships" name="Products" sheetId="2" r:id="R056bbbd14dcf4dad"/>
    <x:sheet xmlns:r="http://schemas.openxmlformats.org/officeDocument/2006/relationships" name="Sales" sheetId="3" r:id="R2abcd301cb2b44e1"/>
    <x:sheet xmlns:r="http://schemas.openxmlformats.org/officeDocument/2006/relationships" name="Purchases" sheetId="4" r:id="R79dc9e1a9bcd47f1"/>
    <x:sheet xmlns:r="http://schemas.openxmlformats.org/officeDocument/2006/relationships" name="Lookup" sheetId="5" r:id="Rde391f41341b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PKR&quot; #,##0"/>
    <x:numFmt numFmtId="201" formatCode="0.0%"/>
    <x:numFmt numFmtId="202" formatCode="0"/>
    <x:numFmt numFmtId="203" formatCode="yyyy-mm-dd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4534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23524"/>
      <x:name val="Carlito"/>
    </x:font>
    <x:font>
      <x:b/>
      <x:sz val="16"/>
      <x:color rgb="FF0F2E20"/>
      <x:name val="Carlito"/>
    </x:font>
    <x:font>
      <x:b/>
      <x:sz val="10"/>
      <x:color rgb="FF244534"/>
      <x:name val="Carlito"/>
    </x:font>
    <x:font>
      <x:b/>
      <x:sz val="18"/>
      <x:color rgb="FFFFFFFF"/>
      <x:name val="Aptos"/>
    </x:font>
    <x:font>
      <x:b/>
      <x:sz val="11"/>
      <x:color rgb="FF244534"/>
      <x:name val="Aptos"/>
    </x:font>
    <x:font>
      <x:sz val="11"/>
      <x:name val="Aptos"/>
    </x:font>
    <x:font>
      <x:b/>
      <x:sz val="11"/>
      <x:color rgb="FF123524"/>
      <x:name val="Aptos"/>
    </x:font>
    <x:font>
      <x:b/>
      <x:sz val="16"/>
      <x:color rgb="FF0F2E20"/>
      <x:name val="Aptos"/>
    </x:font>
    <x:font>
      <x:b/>
      <x:sz val="11"/>
      <x:color rgb="FFFFFFFF"/>
      <x:name val="Aptos"/>
    </x:font>
    <x:font>
      <x:sz val="10"/>
      <x:color rgb="FF1F2933"/>
      <x:name val="Aptos"/>
    </x:font>
    <x:font>
      <x:b/>
      <x:sz val="10"/>
      <x:color rgb="FF24453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23524"/>
      </x:patternFill>
    </x:fill>
    <x:fill>
      <x:patternFill patternType="solid">
        <x:fgColor rgb="FFDDEBE2"/>
      </x:patternFill>
    </x:fill>
    <x:fill>
      <x:patternFill patternType="solid">
        <x:fgColor rgb="FF1F6F4A"/>
      </x:patternFill>
    </x:fill>
    <x:fill>
      <x:patternFill patternType="solid">
        <x:fgColor rgb="FFFBFDFB"/>
      </x:patternFill>
    </x:fill>
    <x:fill>
      <x:patternFill patternType="solid">
        <x:fgColor rgb="FFEDF7F1"/>
      </x:patternFill>
    </x:fill>
    <x:fill>
      <x:patternFill patternType="solid">
        <x:fgColor rgb="FFFFFFFF"/>
      </x:patternFill>
    </x:fill>
    <x:fill>
      <x:patternFill patternType="solid">
        <x:fgColor rgb="FFE8F3EC"/>
      </x:patternFill>
    </x:fill>
  </x:fills>
  <x:borders count="12">
    <x:border/>
    <x:border>
      <x:left style="thin">
        <x:color rgb="FFB8C7BD"/>
      </x:left>
      <x:right style="thin">
        <x:color rgb="FFB8C7BD"/>
      </x:right>
      <x:top style="thin">
        <x:color rgb="FFB8C7BD"/>
      </x:top>
      <x:bottom style="thin">
        <x:color rgb="FFB8C7BD"/>
      </x:bottom>
    </x:border>
    <x:border>
      <x:left style="thin">
        <x:color rgb="FFD7E0DA"/>
      </x:left>
      <x:right style="thin">
        <x:color rgb="FFD7E0DA"/>
      </x:right>
      <x:top style="thin">
        <x:color rgb="FFD7E0DA"/>
      </x:top>
      <x:bottom style="thin">
        <x:color rgb="FFD7E0DA"/>
      </x:bottom>
    </x:border>
    <x:border>
      <x:left style="thin">
        <x:color rgb="FF9DB5A8"/>
      </x:left>
      <x:top style="thin">
        <x:color rgb="FF9DB5A8"/>
      </x:top>
    </x:border>
    <x:border>
      <x:right style="thin">
        <x:color rgb="FF9DB5A8"/>
      </x:right>
      <x:top style="thin">
        <x:color rgb="FF9DB5A8"/>
      </x:top>
    </x:border>
    <x:border>
      <x:left style="thin">
        <x:color rgb="FF9DB5A8"/>
      </x:left>
    </x:border>
    <x:border>
      <x:right style="thin">
        <x:color rgb="FF9DB5A8"/>
      </x:right>
    </x:border>
    <x:border>
      <x:left style="thin">
        <x:color rgb="FF9DB5A8"/>
      </x:left>
      <x:bottom style="thin">
        <x:color rgb="FF9DB5A8"/>
      </x:bottom>
    </x:border>
    <x:border>
      <x:right style="thin">
        <x:color rgb="FF9DB5A8"/>
      </x:right>
      <x:bottom style="thin">
        <x:color rgb="FF9DB5A8"/>
      </x:bottom>
    </x:border>
    <x:border>
      <x:left style="thin">
        <x:color rgb="FF9DB5A8"/>
      </x:left>
      <x:top style="thin">
        <x:color rgb="FF9DB5A8"/>
      </x:top>
      <x:bottom style="thin">
        <x:color rgb="FF9DB5A8"/>
      </x:bottom>
    </x:border>
    <x:border>
      <x:top style="thin">
        <x:color rgb="FF9DB5A8"/>
      </x:top>
      <x:bottom style="thin">
        <x:color rgb="FF9DB5A8"/>
      </x:bottom>
    </x:border>
    <x:border>
      <x:right style="thin">
        <x:color rgb="FF9DB5A8"/>
      </x:right>
      <x:top style="thin">
        <x:color rgb="FF9DB5A8"/>
      </x:top>
      <x:bottom style="thin">
        <x:color rgb="FF9DB5A8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203" fontId="4" fillId="5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3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5" fillId="7" borderId="6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/>
    </x:xf>
    <x:xf numFmtId="0" fontId="5" fillId="7" borderId="8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5" fillId="7" borderId="6" xfId="0" applyNumberFormat="1" applyFont="1" applyFill="1" applyBorder="1" applyAlignment="1">
      <x:alignment horizontal="center" vertic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5" fillId="7" borderId="8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200" fontId="5" fillId="7" borderId="6" xfId="0" applyNumberFormat="1" applyFont="1" applyFill="1" applyBorder="1" applyAlignment="1">
      <x:alignment horizontal="center" vertical="center"/>
    </x:xf>
    <x:xf numFmtId="200" fontId="6" fillId="7" borderId="5" xfId="0" applyNumberFormat="1" applyFont="1" applyFill="1" applyBorder="1" applyAlignment="1">
      <x:alignment horizontal="center" vertical="center"/>
    </x:xf>
    <x:xf numFmtId="200" fontId="5" fillId="7" borderId="8" xfId="0" applyNumberFormat="1" applyFont="1" applyFill="1" applyBorder="1" applyAlignment="1">
      <x:alignment horizontal="center" vertical="center"/>
    </x:xf>
    <x:xf numFmtId="200" fontId="5" fillId="7" borderId="7" xfId="0" applyNumberFormat="1" applyFont="1" applyFill="1" applyBorder="1" applyAlignment="1">
      <x:alignment horizontal="center" vertical="center"/>
    </x:xf>
    <x:xf numFmtId="200" fontId="5" fillId="7" borderId="4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6" borderId="0" xfId="0" applyNumberFormat="1" applyFont="1" applyFill="1" applyBorder="1"/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2" fillId="7" borderId="5" xfId="0" applyNumberFormat="1" applyFont="1" applyFill="1" applyBorder="1" applyAlignment="1">
      <x:alignment horizontal="center" vertical="center"/>
    </x:xf>
    <x:xf numFmtId="200" fontId="11" fillId="7" borderId="6" xfId="0" applyNumberFormat="1" applyFont="1" applyFill="1" applyBorder="1" applyAlignment="1">
      <x:alignment horizontal="center" vertical="center"/>
    </x:xf>
    <x:xf numFmtId="200" fontId="10" fillId="0" borderId="0" xfId="0" applyNumberFormat="1" applyFont="1" applyFill="1" applyBorder="1"/>
    <x:xf numFmtId="200" fontId="12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200" fontId="11" fillId="7" borderId="8" xfId="0" applyNumberFormat="1" applyFont="1" applyFill="1" applyBorder="1" applyAlignment="1">
      <x:alignment horizontal="center" vertical="center"/>
    </x:xf>
    <x:xf numFmtId="20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200" fontId="11" fillId="7" borderId="4" xfId="0" applyNumberFormat="1" applyFont="1" applyFill="1" applyBorder="1" applyAlignment="1">
      <x:alignment horizontal="center" vertical="center"/>
    </x:xf>
    <x:xf numFmtId="200" fontId="11" fillId="7" borderId="3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vertical="center"/>
    </x:xf>
    <x:xf numFmtId="200" fontId="14" fillId="5" borderId="2" xfId="0" applyNumberFormat="1" applyFont="1" applyFill="1" applyBorder="1" applyAlignment="1">
      <x:alignment vertical="center"/>
    </x:xf>
    <x:xf numFmtId="0" fontId="15" fillId="8" borderId="9" xfId="0" applyNumberFormat="1" applyFont="1" applyFill="1" applyBorder="1" applyAlignment="1">
      <x:alignment wrapText="1"/>
    </x:xf>
    <x:xf numFmtId="0" fontId="15" fillId="8" borderId="10" xfId="0" applyNumberFormat="1" applyFont="1" applyFill="1" applyBorder="1" applyAlignment="1">
      <x:alignment wrapText="1"/>
    </x:xf>
    <x:xf numFmtId="0" fontId="15" fillId="8" borderId="1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acc8c138c4da9" /><Relationship Type="http://schemas.openxmlformats.org/officeDocument/2006/relationships/theme" Target="/xl/theme/theme1.xml" Id="R62000da20ae04365" /><Relationship Type="http://schemas.openxmlformats.org/officeDocument/2006/relationships/sharedStrings" Target="/xl/sharedStrings.xml" Id="Ra51cdbe9185f4da4" /><Relationship Type="http://schemas.openxmlformats.org/officeDocument/2006/relationships/worksheet" Target="/xl/worksheets/sheet1.xml" Id="R8bf884869f8b4862" /><Relationship Type="http://schemas.openxmlformats.org/officeDocument/2006/relationships/worksheet" Target="/xl/worksheets/sheet2.xml" Id="R056bbbd14dcf4dad" /><Relationship Type="http://schemas.openxmlformats.org/officeDocument/2006/relationships/worksheet" Target="/xl/worksheets/sheet3.xml" Id="R2abcd301cb2b44e1" /><Relationship Type="http://schemas.openxmlformats.org/officeDocument/2006/relationships/worksheet" Target="/xl/worksheets/sheet4.xml" Id="R79dc9e1a9bcd47f1" /><Relationship Type="http://schemas.openxmlformats.org/officeDocument/2006/relationships/worksheet" Target="/xl/worksheets/sheet5.xml" Id="Rde391f41341b4b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7f52b92d3641e1" /><Relationship Type="http://schemas.openxmlformats.org/officeDocument/2006/relationships/chart" Target="/xl/drawings/charts/chart2.xml" Id="R013fe2126fc1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'Dashboard'!$B$14:$B$23</c:f>
              <c:numCache>
                <c:formatCode>"PKR" 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'Dashboard'!$C$14:$C$23</c:f>
              <c:numCache>
                <c:formatCode>"PKR"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Stock and Reorder Quantity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 Stock</c:v>
          </c:tx>
          <c:cat>
            <c:strRef>
              <c:f>'Dashboard'!$J$14:$J$28</c:f>
              <c:strCache>
                <c:ptCount val="0"/>
              </c:strCache>
            </c:strRef>
          </c:cat>
          <c:val>
            <c:numRef>
              <c:f>'Dashboard'!$K$14:$K$28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Reorder Level</c:v>
          </c:tx>
          <c:cat>
            <c:strRef>
              <c:f>'Dashboard'!$J$14:$J$28</c:f>
              <c:strCache>
                <c:ptCount val="0"/>
              </c:strCache>
            </c:strRef>
          </c:cat>
          <c:val>
            <c:numRef>
              <c:f>'Dashboard'!$L$14:$L$28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Reorder Qty</c:v>
          </c:tx>
          <c:cat>
            <c:strRef>
              <c:f>'Dashboard'!$J$14:$J$28</c:f>
              <c:strCache>
                <c:ptCount val="0"/>
              </c:strCache>
            </c:strRef>
          </c:cat>
          <c:val>
            <c:numRef>
              <c:f>'Dashboard'!$M$14:$M$28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34</xdr:row>
      <xdr:rowOff>0</xdr:rowOff>
    </xdr:from>
    <xdr:ext cx="6096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7f52b92d3641e1"/>
        </a:graphicData>
      </a:graphic>
    </xdr:graphicFrame>
    <xdr:clientData/>
  </xdr:oneCellAnchor>
  <xdr:oneCellAnchor>
    <xdr:from>
      <xdr:col>9</xdr:col>
      <xdr:colOff>0</xdr:colOff>
      <xdr:row>34</xdr:row>
      <xdr:rowOff>0</xdr:rowOff>
    </xdr:from>
    <xdr:ext cx="495300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3fe2126fc142e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8d9b9a1fe8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1.670000076293945" hidden="0" customWidth="1"/>
    <x:col min="3" max="3" width="3.3299999237060547" hidden="0" customWidth="1"/>
    <x:col min="4" max="4" width="15.5600004196167" hidden="0" customWidth="1"/>
    <x:col min="5" max="5" width="11.670000076293945" hidden="0" customWidth="1"/>
    <x:col min="6" max="6" width="3.3299999237060547" hidden="0" customWidth="1"/>
    <x:col min="7" max="7" width="15.5600004196167" hidden="0" customWidth="1"/>
    <x:col min="8" max="8" width="11.670000076293945" hidden="0" customWidth="1"/>
    <x:col min="9" max="9" width="3.3299999237060547" hidden="0" customWidth="1"/>
    <x:col min="10" max="10" width="18.889999389648438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3.3299999237060547" hidden="0" customWidth="1"/>
  </x:cols>
  <x:sheetData>
    <x:row r="1" ht="21.600000381469727" hidden="0" customHeight="1">
      <x:c r="A1" s="60" t="str">
        <x:v>Retail Computer Shop Dashboard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</x:row>
    <x:row r="2" ht="15" hidden="0" customHeight="1">
      <x:c r="A2" s="61" t="str">
        <x:v>Live view of inventory, sales, profit/loss, stock value, and reorder needs. Update Sales and Purchases to refresh.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</x:row>
    <x:row r="3" ht="15" hidden="0" customHeight="1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</x:row>
    <x:row r="4" ht="15" hidden="0" customHeight="1">
      <x:c r="A4" s="63"/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</x:row>
    <x:row r="5" ht="15" hidden="0" customHeight="1">
      <x:c r="A5" s="64" t="str">
        <x:v>Total Stock Value</x:v>
      </x:c>
      <x:c r="B5" s="65"/>
      <x:c r="C5" s="62"/>
      <x:c r="D5" s="64" t="str">
        <x:v>Total Sales</x:v>
      </x:c>
      <x:c r="E5" s="65"/>
      <x:c r="F5" s="62"/>
      <x:c r="G5" s="64" t="str">
        <x:v>Gross Profit</x:v>
      </x:c>
      <x:c r="H5" s="65"/>
      <x:c r="I5" s="62"/>
      <x:c r="J5" s="64" t="str">
        <x:v>Units Sold</x:v>
      </x:c>
      <x:c r="K5" s="65"/>
      <x:c r="L5" s="62"/>
      <x:c r="M5" s="62"/>
      <x:c r="N5" s="62"/>
    </x:row>
    <x:row r="6" ht="19.200000762939453" hidden="0" customHeight="1">
      <x:c r="A6" s="66" t="n">
        <x:f>SUM(Products!$M$5:$M$34)</x:f>
        <x:v>543120</x:v>
      </x:c>
      <x:c r="B6" s="67"/>
      <x:c r="C6" s="68"/>
      <x:c r="D6" s="69" t="n">
        <x:f>SUMIFS(Sales!$I$5:$I$504,Sales!$J$5:$J$504,"Completed")</x:f>
        <x:v>44150</x:v>
      </x:c>
      <x:c r="E6" s="67"/>
      <x:c r="F6" s="62"/>
      <x:c r="G6" s="69" t="n">
        <x:f>SUMIFS(Sales!$K$5:$K$504,Sales!$J$5:$J$504,"Completed")</x:f>
        <x:v>16890</x:v>
      </x:c>
      <x:c r="H6" s="70"/>
      <x:c r="I6" s="62"/>
      <x:c r="J6" s="66" t="n">
        <x:f>SUMIFS(Sales!$D$5:$D$504,Sales!$J$5:$J$504,"Completed")</x:f>
        <x:v>32</x:v>
      </x:c>
      <x:c r="K6" s="70"/>
      <x:c r="L6" s="62"/>
      <x:c r="M6" s="62"/>
      <x:c r="N6" s="62"/>
    </x:row>
    <x:row r="7" ht="15" hidden="0" customHeight="1">
      <x:c r="A7" s="71"/>
      <x:c r="B7" s="72"/>
      <x:c r="C7" s="68"/>
      <x:c r="D7" s="73"/>
      <x:c r="E7" s="72"/>
      <x:c r="F7" s="62"/>
      <x:c r="G7" s="73"/>
      <x:c r="H7" s="74"/>
      <x:c r="I7" s="62"/>
      <x:c r="J7" s="71"/>
      <x:c r="K7" s="74"/>
      <x:c r="L7" s="62"/>
      <x:c r="M7" s="62"/>
      <x:c r="N7" s="62"/>
    </x:row>
    <x:row r="8" ht="15" hidden="0" customHeight="1">
      <x:c r="A8" s="62"/>
      <x:c r="B8" s="68"/>
      <x:c r="C8" s="68"/>
      <x:c r="D8" s="68"/>
      <x:c r="E8" s="68"/>
      <x:c r="F8" s="62"/>
      <x:c r="G8" s="68"/>
      <x:c r="H8" s="62"/>
      <x:c r="I8" s="62"/>
      <x:c r="J8" s="62"/>
      <x:c r="K8" s="62"/>
      <x:c r="L8" s="62"/>
      <x:c r="M8" s="62"/>
      <x:c r="N8" s="62"/>
    </x:row>
    <x:row r="9" ht="15" hidden="0" customHeight="1">
      <x:c r="A9" s="64" t="str">
        <x:v>Low Stock Items</x:v>
      </x:c>
      <x:c r="B9" s="75"/>
      <x:c r="C9" s="68"/>
      <x:c r="D9" s="76" t="str">
        <x:v>Total Reorder Qty</x:v>
      </x:c>
      <x:c r="E9" s="75"/>
      <x:c r="F9" s="62"/>
      <x:c r="G9" s="68"/>
      <x:c r="H9" s="62"/>
      <x:c r="I9" s="62"/>
      <x:c r="J9" s="62"/>
      <x:c r="K9" s="62"/>
      <x:c r="L9" s="62"/>
      <x:c r="M9" s="62"/>
      <x:c r="N9" s="62"/>
    </x:row>
    <x:row r="10" ht="19.200000762939453" hidden="0" customHeight="1">
      <x:c r="A10" s="66" t="n">
        <x:f>COUNTIF(Products!$P$5:$P$34,"Reorder")+COUNTIF(Products!$P$5:$P$34,"Out of Stock")</x:f>
        <x:v>0</x:v>
      </x:c>
      <x:c r="B10" s="67"/>
      <x:c r="C10" s="68"/>
      <x:c r="D10" s="69" t="n">
        <x:f>SUM(Products!$L$5:$L$34)</x:f>
        <x:v>0</x:v>
      </x:c>
      <x:c r="E10" s="67"/>
      <x:c r="F10" s="62"/>
      <x:c r="G10" s="68"/>
      <x:c r="H10" s="62"/>
      <x:c r="I10" s="62"/>
      <x:c r="J10" s="62"/>
      <x:c r="K10" s="62"/>
      <x:c r="L10" s="62"/>
      <x:c r="M10" s="62"/>
      <x:c r="N10" s="62"/>
    </x:row>
    <x:row r="11" ht="15" hidden="0" customHeight="1">
      <x:c r="A11" s="71"/>
      <x:c r="B11" s="74"/>
      <x:c r="C11" s="62"/>
      <x:c r="D11" s="71"/>
      <x:c r="E11" s="74"/>
      <x:c r="F11" s="62"/>
      <x:c r="G11" s="62"/>
      <x:c r="H11" s="62"/>
      <x:c r="I11" s="62"/>
      <x:c r="J11" s="62"/>
      <x:c r="K11" s="62"/>
      <x:c r="L11" s="62"/>
      <x:c r="M11" s="62"/>
      <x:c r="N11" s="62"/>
    </x:row>
    <x:row r="12" ht="15" hidden="0" customHeight="1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</x:row>
    <x:row r="13" ht="66" hidden="0" customHeight="1">
      <x:c r="A13" s="77" t="str">
        <x:v>Category</x:v>
      </x:c>
      <x:c r="B13" s="77" t="str">
        <x:v>Sales</x:v>
      </x:c>
      <x:c r="C13" s="77" t="str">
        <x:v>Profit</x:v>
      </x:c>
      <x:c r="D13" s="77" t="str">
        <x:v>Units Sold</x:v>
      </x:c>
      <x:c r="E13" s="77" t="str">
        <x:v>Stock Value</x:v>
      </x:c>
      <x:c r="F13" s="77" t="str">
        <x:v>Current Stock</x:v>
      </x:c>
      <x:c r="G13" s="77" t="str">
        <x:v>Reorder Qty</x:v>
      </x:c>
      <x:c r="H13" s="77" t="str">
        <x:v>Low Stock Items</x:v>
      </x:c>
      <x:c r="I13" s="62"/>
      <x:c r="J13" s="77" t="str">
        <x:v>Product</x:v>
      </x:c>
      <x:c r="K13" s="77" t="str">
        <x:v>Current Stock</x:v>
      </x:c>
      <x:c r="L13" s="77" t="str">
        <x:v>Reorder Level</x:v>
      </x:c>
      <x:c r="M13" s="77" t="str">
        <x:v>Reorder Qty</x:v>
      </x:c>
      <x:c r="N13" s="62"/>
    </x:row>
    <x:row r="14" ht="15" hidden="0" customHeight="1">
      <x:c r="A14" s="78" t="str">
        <x:f>Lookup!D2</x:f>
        <x:v>Adapter</x:v>
      </x:c>
      <x:c r="B14" s="79" t="n">
        <x:f>Lookup!E2</x:f>
        <x:v>0</x:v>
      </x:c>
      <x:c r="C14" s="79" t="n">
        <x:f>Lookup!F2</x:f>
        <x:v>0</x:v>
      </x:c>
      <x:c r="D14" s="78" t="n">
        <x:f>Lookup!G2</x:f>
        <x:v>0</x:v>
      </x:c>
      <x:c r="E14" s="79" t="n">
        <x:f>Lookup!H2</x:f>
        <x:v>26400</x:v>
      </x:c>
      <x:c r="F14" s="78" t="n">
        <x:f>Lookup!I2</x:f>
        <x:v>22</x:v>
      </x:c>
      <x:c r="G14" s="78" t="n">
        <x:f>Lookup!J2</x:f>
        <x:v>0</x:v>
      </x:c>
      <x:c r="H14" s="78" t="n">
        <x:f>Lookup!K2</x:f>
        <x:v>0</x:v>
      </x:c>
      <x:c r="I14" s="62"/>
      <x:c r="J14" s="78" t="str">
        <x:f>Lookup!M2</x:f>
        <x:v>Wireless Mouse</x:v>
      </x:c>
      <x:c r="K14" s="78" t="n">
        <x:f>Lookup!N2</x:f>
        <x:v>42</x:v>
      </x:c>
      <x:c r="L14" s="78" t="n">
        <x:f>Lookup!O2</x:f>
        <x:v>12</x:v>
      </x:c>
      <x:c r="M14" s="78" t="n">
        <x:f>Lookup!P2</x:f>
        <x:v>0</x:v>
      </x:c>
      <x:c r="N14" s="62"/>
    </x:row>
    <x:row r="15" ht="15" hidden="0" customHeight="1">
      <x:c r="A15" s="78" t="str">
        <x:f>Lookup!D3</x:f>
        <x:v>Cable</x:v>
      </x:c>
      <x:c r="B15" s="79" t="n">
        <x:f>Lookup!E3</x:f>
        <x:v>5200</x:v>
      </x:c>
      <x:c r="C15" s="79" t="n">
        <x:f>Lookup!F3</x:f>
        <x:v>2640</x:v>
      </x:c>
      <x:c r="D15" s="78" t="n">
        <x:f>Lookup!G3</x:f>
        <x:v>8</x:v>
      </x:c>
      <x:c r="E15" s="79" t="n">
        <x:f>Lookup!H3</x:f>
        <x:v>44040</x:v>
      </x:c>
      <x:c r="F15" s="78" t="n">
        <x:f>Lookup!I3</x:f>
        <x:v>147</x:v>
      </x:c>
      <x:c r="G15" s="78" t="n">
        <x:f>Lookup!J3</x:f>
        <x:v>0</x:v>
      </x:c>
      <x:c r="H15" s="78" t="n">
        <x:f>Lookup!K3</x:f>
        <x:v>0</x:v>
      </x:c>
      <x:c r="I15" s="62"/>
      <x:c r="J15" s="78" t="str">
        <x:f>Lookup!M3</x:f>
        <x:v>Gaming Mouse RGB</x:v>
      </x:c>
      <x:c r="K15" s="78" t="n">
        <x:f>Lookup!N3</x:f>
        <x:v>18</x:v>
      </x:c>
      <x:c r="L15" s="78" t="n">
        <x:f>Lookup!O3</x:f>
        <x:v>8</x:v>
      </x:c>
      <x:c r="M15" s="78" t="n">
        <x:f>Lookup!P3</x:f>
        <x:v>0</x:v>
      </x:c>
      <x:c r="N15" s="62"/>
    </x:row>
    <x:row r="16" ht="15" hidden="0" customHeight="1">
      <x:c r="A16" s="78" t="str">
        <x:f>Lookup!D4</x:f>
        <x:v>Charger</x:v>
      </x:c>
      <x:c r="B16" s="79" t="n">
        <x:f>Lookup!E4</x:f>
        <x:v>6700</x:v>
      </x:c>
      <x:c r="C16" s="79" t="n">
        <x:f>Lookup!F4</x:f>
        <x:v>2500</x:v>
      </x:c>
      <x:c r="D16" s="78" t="n">
        <x:f>Lookup!G4</x:f>
        <x:v>2</x:v>
      </x:c>
      <x:c r="E16" s="79" t="n">
        <x:f>Lookup!H4</x:f>
        <x:v>50400</x:v>
      </x:c>
      <x:c r="F16" s="78" t="n">
        <x:f>Lookup!I4</x:f>
        <x:v>24</x:v>
      </x:c>
      <x:c r="G16" s="78" t="n">
        <x:f>Lookup!J4</x:f>
        <x:v>0</x:v>
      </x:c>
      <x:c r="H16" s="78" t="n">
        <x:f>Lookup!K4</x:f>
        <x:v>0</x:v>
      </x:c>
      <x:c r="I16" s="62"/>
      <x:c r="J16" s="78" t="str">
        <x:f>Lookup!M4</x:f>
        <x:v>USB Keyboard</x:v>
      </x:c>
      <x:c r="K16" s="78" t="n">
        <x:f>Lookup!N4</x:f>
        <x:v>34</x:v>
      </x:c>
      <x:c r="L16" s="78" t="n">
        <x:f>Lookup!O4</x:f>
        <x:v>10</x:v>
      </x:c>
      <x:c r="M16" s="78" t="n">
        <x:f>Lookup!P4</x:f>
        <x:v>0</x:v>
      </x:c>
      <x:c r="N16" s="62"/>
    </x:row>
    <x:row r="17" ht="15" hidden="0" customHeight="1">
      <x:c r="A17" s="78" t="str">
        <x:f>Lookup!D5</x:f>
        <x:v>Headset</x:v>
      </x:c>
      <x:c r="B17" s="79" t="n">
        <x:f>Lookup!E5</x:f>
        <x:v>3950</x:v>
      </x:c>
      <x:c r="C17" s="79" t="n">
        <x:f>Lookup!F5</x:f>
        <x:v>1450</x:v>
      </x:c>
      <x:c r="D17" s="78" t="n">
        <x:f>Lookup!G5</x:f>
        <x:v>1</x:v>
      </x:c>
      <x:c r="E17" s="79" t="n">
        <x:f>Lookup!H5</x:f>
        <x:v>37500</x:v>
      </x:c>
      <x:c r="F17" s="78" t="n">
        <x:f>Lookup!I5</x:f>
        <x:v>15</x:v>
      </x:c>
      <x:c r="G17" s="78" t="n">
        <x:f>Lookup!J5</x:f>
        <x:v>0</x:v>
      </x:c>
      <x:c r="H17" s="78" t="n">
        <x:f>Lookup!K5</x:f>
        <x:v>0</x:v>
      </x:c>
      <x:c r="I17" s="62"/>
      <x:c r="J17" s="78" t="str">
        <x:f>Lookup!M5</x:f>
        <x:v>Mechanical Keyboard</x:v>
      </x:c>
      <x:c r="K17" s="78" t="n">
        <x:f>Lookup!N5</x:f>
        <x:v>11</x:v>
      </x:c>
      <x:c r="L17" s="78" t="n">
        <x:f>Lookup!O5</x:f>
        <x:v>5</x:v>
      </x:c>
      <x:c r="M17" s="78" t="n">
        <x:f>Lookup!P5</x:f>
        <x:v>0</x:v>
      </x:c>
      <x:c r="N17" s="62"/>
    </x:row>
    <x:row r="18" ht="15" hidden="0" customHeight="1">
      <x:c r="A18" s="78" t="str">
        <x:f>Lookup!D6</x:f>
        <x:v>Keyboard</x:v>
      </x:c>
      <x:c r="B18" s="79" t="n">
        <x:f>Lookup!E6</x:f>
        <x:v>12200</x:v>
      </x:c>
      <x:c r="C18" s="79" t="n">
        <x:f>Lookup!F6</x:f>
        <x:v>4100</x:v>
      </x:c>
      <x:c r="D18" s="78" t="n">
        <x:f>Lookup!G6</x:f>
        <x:v>3</x:v>
      </x:c>
      <x:c r="E18" s="79" t="n">
        <x:f>Lookup!H6</x:f>
        <x:v>106500</x:v>
      </x:c>
      <x:c r="F18" s="78" t="n">
        <x:f>Lookup!I6</x:f>
        <x:v>45</x:v>
      </x:c>
      <x:c r="G18" s="78" t="n">
        <x:f>Lookup!J6</x:f>
        <x:v>0</x:v>
      </x:c>
      <x:c r="H18" s="78" t="n">
        <x:f>Lookup!K6</x:f>
        <x:v>0</x:v>
      </x:c>
      <x:c r="I18" s="62"/>
      <x:c r="J18" s="78" t="str">
        <x:f>Lookup!M6</x:f>
        <x:v>HDMI Cable 2m</x:v>
      </x:c>
      <x:c r="K18" s="78" t="n">
        <x:f>Lookup!N6</x:f>
        <x:v>72</x:v>
      </x:c>
      <x:c r="L18" s="78" t="n">
        <x:f>Lookup!O6</x:f>
        <x:v>20</x:v>
      </x:c>
      <x:c r="M18" s="78" t="n">
        <x:f>Lookup!P6</x:f>
        <x:v>0</x:v>
      </x:c>
      <x:c r="N18" s="62"/>
    </x:row>
    <x:row r="19" ht="15" hidden="0" customHeight="1">
      <x:c r="A19" s="78" t="str">
        <x:f>Lookup!D7</x:f>
        <x:v>Laptop Accessory</x:v>
      </x:c>
      <x:c r="B19" s="79" t="n">
        <x:f>Lookup!E7</x:f>
        <x:v>0</x:v>
      </x:c>
      <x:c r="C19" s="79" t="n">
        <x:f>Lookup!F7</x:f>
        <x:v>0</x:v>
      </x:c>
      <x:c r="D19" s="78" t="n">
        <x:f>Lookup!G7</x:f>
        <x:v>0</x:v>
      </x:c>
      <x:c r="E19" s="79" t="n">
        <x:f>Lookup!H7</x:f>
        <x:v>25200</x:v>
      </x:c>
      <x:c r="F19" s="78" t="n">
        <x:f>Lookup!I7</x:f>
        <x:v>14</x:v>
      </x:c>
      <x:c r="G19" s="78" t="n">
        <x:f>Lookup!J7</x:f>
        <x:v>0</x:v>
      </x:c>
      <x:c r="H19" s="78" t="n">
        <x:f>Lookup!K7</x:f>
        <x:v>0</x:v>
      </x:c>
      <x:c r="I19" s="62"/>
      <x:c r="J19" s="78" t="str">
        <x:f>Lookup!M7</x:f>
        <x:v>USB-C Cable</x:v>
      </x:c>
      <x:c r="K19" s="78" t="n">
        <x:f>Lookup!N7</x:f>
        <x:v>75</x:v>
      </x:c>
      <x:c r="L19" s="78" t="n">
        <x:f>Lookup!O7</x:f>
        <x:v>25</x:v>
      </x:c>
      <x:c r="M19" s="78" t="n">
        <x:f>Lookup!P7</x:f>
        <x:v>0</x:v>
      </x:c>
      <x:c r="N19" s="62"/>
    </x:row>
    <x:row r="20" ht="15" hidden="0" customHeight="1">
      <x:c r="A20" s="78" t="str">
        <x:f>Lookup!D8</x:f>
        <x:v>Mouse</x:v>
      </x:c>
      <x:c r="B20" s="79" t="n">
        <x:f>Lookup!E8</x:f>
        <x:v>7850</x:v>
      </x:c>
      <x:c r="C20" s="79" t="n">
        <x:f>Lookup!F8</x:f>
        <x:v>3200</x:v>
      </x:c>
      <x:c r="D20" s="78" t="n">
        <x:f>Lookup!G8</x:f>
        <x:v>13</x:v>
      </x:c>
      <x:c r="E20" s="79" t="n">
        <x:f>Lookup!H8</x:f>
        <x:v>85800</x:v>
      </x:c>
      <x:c r="F20" s="78" t="n">
        <x:f>Lookup!I8</x:f>
        <x:v>130</x:v>
      </x:c>
      <x:c r="G20" s="78" t="n">
        <x:f>Lookup!J8</x:f>
        <x:v>0</x:v>
      </x:c>
      <x:c r="H20" s="78" t="n">
        <x:f>Lookup!K8</x:f>
        <x:v>0</x:v>
      </x:c>
      <x:c r="I20" s="62"/>
      <x:c r="J20" s="78" t="str">
        <x:f>Lookup!M8</x:f>
        <x:v>Laptop Charger 65W</x:v>
      </x:c>
      <x:c r="K20" s="78" t="n">
        <x:f>Lookup!N8</x:f>
        <x:v>24</x:v>
      </x:c>
      <x:c r="L20" s="78" t="n">
        <x:f>Lookup!O8</x:f>
        <x:v>8</x:v>
      </x:c>
      <x:c r="M20" s="78" t="n">
        <x:f>Lookup!P8</x:f>
        <x:v>0</x:v>
      </x:c>
      <x:c r="N20" s="62"/>
    </x:row>
    <x:row r="21" ht="15" hidden="0" customHeight="1">
      <x:c r="A21" s="78" t="str">
        <x:f>Lookup!D9</x:f>
        <x:v>Printer Accessory</x:v>
      </x:c>
      <x:c r="B21" s="79" t="n">
        <x:f>Lookup!E9</x:f>
        <x:v>0</x:v>
      </x:c>
      <x:c r="C21" s="79" t="n">
        <x:f>Lookup!F9</x:f>
        <x:v>0</x:v>
      </x:c>
      <x:c r="D21" s="78" t="n">
        <x:f>Lookup!G9</x:f>
        <x:v>0</x:v>
      </x:c>
      <x:c r="E21" s="79" t="n">
        <x:f>Lookup!H9</x:f>
        <x:v>10080</x:v>
      </x:c>
      <x:c r="F21" s="78" t="n">
        <x:f>Lookup!I9</x:f>
        <x:v>42</x:v>
      </x:c>
      <x:c r="G21" s="78" t="n">
        <x:f>Lookup!J9</x:f>
        <x:v>0</x:v>
      </x:c>
      <x:c r="H21" s="78" t="n">
        <x:f>Lookup!K9</x:f>
        <x:v>0</x:v>
      </x:c>
      <x:c r="I21" s="62"/>
      <x:c r="J21" s="78" t="str">
        <x:f>Lookup!M9</x:f>
        <x:v>USB WiFi Adapter</x:v>
      </x:c>
      <x:c r="K21" s="78" t="n">
        <x:f>Lookup!N9</x:f>
        <x:v>22</x:v>
      </x:c>
      <x:c r="L21" s="78" t="n">
        <x:f>Lookup!O9</x:f>
        <x:v>8</x:v>
      </x:c>
      <x:c r="M21" s="78" t="n">
        <x:f>Lookup!P9</x:f>
        <x:v>0</x:v>
      </x:c>
      <x:c r="N21" s="62"/>
    </x:row>
    <x:row r="22" ht="15" hidden="0" customHeight="1">
      <x:c r="A22" s="78" t="str">
        <x:f>Lookup!D10</x:f>
        <x:v>Storage</x:v>
      </x:c>
      <x:c r="B22" s="79" t="n">
        <x:f>Lookup!E10</x:f>
        <x:v>8250</x:v>
      </x:c>
      <x:c r="C22" s="79" t="n">
        <x:f>Lookup!F10</x:f>
        <x:v>3000</x:v>
      </x:c>
      <x:c r="D22" s="78" t="n">
        <x:f>Lookup!G10</x:f>
        <x:v>5</x:v>
      </x:c>
      <x:c r="E22" s="79" t="n">
        <x:f>Lookup!H10</x:f>
        <x:v>123200</x:v>
      </x:c>
      <x:c r="F22" s="78" t="n">
        <x:f>Lookup!I10</x:f>
        <x:v>59</x:v>
      </x:c>
      <x:c r="G22" s="78" t="n">
        <x:f>Lookup!J10</x:f>
        <x:v>0</x:v>
      </x:c>
      <x:c r="H22" s="78" t="n">
        <x:f>Lookup!K10</x:f>
        <x:v>0</x:v>
      </x:c>
      <x:c r="I22" s="62"/>
      <x:c r="J22" s="78" t="str">
        <x:f>Lookup!M10</x:f>
        <x:v>Bluetooth Headset</x:v>
      </x:c>
      <x:c r="K22" s="78" t="n">
        <x:f>Lookup!N10</x:f>
        <x:v>15</x:v>
      </x:c>
      <x:c r="L22" s="78" t="n">
        <x:f>Lookup!O10</x:f>
        <x:v>6</x:v>
      </x:c>
      <x:c r="M22" s="78" t="n">
        <x:f>Lookup!P10</x:f>
        <x:v>0</x:v>
      </x:c>
      <x:c r="N22" s="62"/>
    </x:row>
    <x:row r="23" ht="15" hidden="0" customHeight="1">
      <x:c r="A23" s="78" t="str">
        <x:f>Lookup!D11</x:f>
        <x:v>Webcam</x:v>
      </x:c>
      <x:c r="B23" s="79" t="n">
        <x:f>Lookup!E11</x:f>
        <x:v>0</x:v>
      </x:c>
      <x:c r="C23" s="79" t="n">
        <x:f>Lookup!F11</x:f>
        <x:v>0</x:v>
      </x:c>
      <x:c r="D23" s="78" t="n">
        <x:f>Lookup!G11</x:f>
        <x:v>0</x:v>
      </x:c>
      <x:c r="E23" s="79" t="n">
        <x:f>Lookup!H11</x:f>
        <x:v>34000</x:v>
      </x:c>
      <x:c r="F23" s="78" t="n">
        <x:f>Lookup!I11</x:f>
        <x:v>10</x:v>
      </x:c>
      <x:c r="G23" s="78" t="n">
        <x:f>Lookup!J11</x:f>
        <x:v>0</x:v>
      </x:c>
      <x:c r="H23" s="78" t="n">
        <x:f>Lookup!K11</x:f>
        <x:v>0</x:v>
      </x:c>
      <x:c r="I23" s="62"/>
      <x:c r="J23" s="78" t="str">
        <x:f>Lookup!M11</x:f>
        <x:v>Webcam 1080p</x:v>
      </x:c>
      <x:c r="K23" s="78" t="n">
        <x:f>Lookup!N11</x:f>
        <x:v>10</x:v>
      </x:c>
      <x:c r="L23" s="78" t="n">
        <x:f>Lookup!O11</x:f>
        <x:v>4</x:v>
      </x:c>
      <x:c r="M23" s="78" t="n">
        <x:f>Lookup!P11</x:f>
        <x:v>0</x:v>
      </x:c>
      <x:c r="N23" s="62"/>
    </x:row>
    <x:row r="24" ht="15" hidden="0" customHeight="1">
      <x:c r="A24" s="62"/>
      <x:c r="B24" s="62"/>
      <x:c r="C24" s="62"/>
      <x:c r="D24" s="62"/>
      <x:c r="E24" s="62"/>
      <x:c r="F24" s="62"/>
      <x:c r="G24" s="62"/>
      <x:c r="H24" s="62"/>
      <x:c r="I24" s="62"/>
      <x:c r="J24" s="78" t="str">
        <x:f>Lookup!M12</x:f>
        <x:v>USB Flash Drive 64GB</x:v>
      </x:c>
      <x:c r="K24" s="78" t="n">
        <x:f>Lookup!N12</x:f>
        <x:v>52</x:v>
      </x:c>
      <x:c r="L24" s="78" t="n">
        <x:f>Lookup!O12</x:f>
        <x:v>15</x:v>
      </x:c>
      <x:c r="M24" s="78" t="n">
        <x:f>Lookup!P12</x:f>
        <x:v>0</x:v>
      </x:c>
      <x:c r="N24" s="62"/>
    </x:row>
    <x:row r="25" ht="15" hidden="0" customHeight="1">
      <x:c r="A25" s="62"/>
      <x:c r="B25" s="62"/>
      <x:c r="C25" s="62"/>
      <x:c r="D25" s="62"/>
      <x:c r="E25" s="62"/>
      <x:c r="F25" s="62"/>
      <x:c r="G25" s="62"/>
      <x:c r="H25" s="62"/>
      <x:c r="I25" s="62"/>
      <x:c r="J25" s="78" t="str">
        <x:f>Lookup!M13</x:f>
        <x:v>External SSD 512GB</x:v>
      </x:c>
      <x:c r="K25" s="78" t="n">
        <x:f>Lookup!N13</x:f>
        <x:v>7</x:v>
      </x:c>
      <x:c r="L25" s="78" t="n">
        <x:f>Lookup!O13</x:f>
        <x:v>3</x:v>
      </x:c>
      <x:c r="M25" s="78" t="n">
        <x:f>Lookup!P13</x:f>
        <x:v>0</x:v>
      </x:c>
      <x:c r="N25" s="62"/>
    </x:row>
    <x:row r="26" ht="15" hidden="0" customHeight="1">
      <x:c r="A26" s="62"/>
      <x:c r="B26" s="62"/>
      <x:c r="C26" s="62"/>
      <x:c r="D26" s="62"/>
      <x:c r="E26" s="62"/>
      <x:c r="F26" s="62"/>
      <x:c r="G26" s="62"/>
      <x:c r="H26" s="62"/>
      <x:c r="I26" s="62"/>
      <x:c r="J26" s="78" t="str">
        <x:f>Lookup!M14</x:f>
        <x:v>Printer USB Cable</x:v>
      </x:c>
      <x:c r="K26" s="78" t="n">
        <x:f>Lookup!N14</x:f>
        <x:v>42</x:v>
      </x:c>
      <x:c r="L26" s="78" t="n">
        <x:f>Lookup!O14</x:f>
        <x:v>15</x:v>
      </x:c>
      <x:c r="M26" s="78" t="n">
        <x:f>Lookup!P14</x:f>
        <x:v>0</x:v>
      </x:c>
      <x:c r="N26" s="62"/>
    </x:row>
    <x:row r="27" ht="15" hidden="0" customHeight="1">
      <x:c r="A27" s="62"/>
      <x:c r="B27" s="62"/>
      <x:c r="C27" s="62"/>
      <x:c r="D27" s="62"/>
      <x:c r="E27" s="62"/>
      <x:c r="F27" s="62"/>
      <x:c r="G27" s="62"/>
      <x:c r="H27" s="62"/>
      <x:c r="I27" s="62"/>
      <x:c r="J27" s="78" t="str">
        <x:f>Lookup!M15</x:f>
        <x:v>Mouse Pad</x:v>
      </x:c>
      <x:c r="K27" s="78" t="n">
        <x:f>Lookup!N15</x:f>
        <x:v>70</x:v>
      </x:c>
      <x:c r="L27" s="78" t="n">
        <x:f>Lookup!O15</x:f>
        <x:v>30</x:v>
      </x:c>
      <x:c r="M27" s="78" t="n">
        <x:f>Lookup!P15</x:f>
        <x:v>0</x:v>
      </x:c>
      <x:c r="N27" s="62"/>
    </x:row>
    <x:row r="28" ht="15" hidden="0" customHeight="1">
      <x:c r="A28" s="62"/>
      <x:c r="B28" s="62"/>
      <x:c r="C28" s="62"/>
      <x:c r="D28" s="62"/>
      <x:c r="E28" s="62"/>
      <x:c r="F28" s="62"/>
      <x:c r="G28" s="62"/>
      <x:c r="H28" s="62"/>
      <x:c r="I28" s="62"/>
      <x:c r="J28" s="78" t="str">
        <x:f>Lookup!M16</x:f>
        <x:v>Laptop Cooling Pad</x:v>
      </x:c>
      <x:c r="K28" s="78" t="n">
        <x:f>Lookup!N16</x:f>
        <x:v>14</x:v>
      </x:c>
      <x:c r="L28" s="78" t="n">
        <x:f>Lookup!O16</x:f>
        <x:v>5</x:v>
      </x:c>
      <x:c r="M28" s="78" t="n">
        <x:f>Lookup!P16</x:f>
        <x:v>0</x:v>
      </x:c>
      <x:c r="N28" s="62"/>
    </x:row>
    <x:row r="29" ht="15" hidden="0" customHeight="1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</x:row>
    <x:row r="30" ht="15" hidden="0" customHeight="1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</x:row>
    <x:row r="31" ht="15" hidden="0" customHeight="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</x:row>
    <x:row r="32" ht="156" hidden="0" customHeight="1">
      <x:c r="A32" s="80" t="str">
        <x:v>How to use: add new products on Products, record sold items on Sales, record new stock on Purchases. Current stock, subtotals, profit/loss, and dashboard totals are linked by formulas. Use the SKU dropdown to find products quickly.</x:v>
      </x:c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2"/>
    </x:row>
    <x:row r="33" ht="15" hidden="0" customHeight="1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</x:row>
    <x:row r="34" ht="15" hidden="0" customHeight="1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</x:row>
    <x:row r="35" ht="15" hidden="0" customHeight="1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</x:row>
    <x:row r="36" ht="15" hidden="0" customHeight="1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</x:row>
    <x:row r="37" ht="15" hidden="0" customHeight="1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</x:row>
    <x:row r="38" ht="15" hidden="0" customHeight="1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</x:row>
    <x:row r="39" ht="15" hidden="0" customHeight="1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</x:row>
    <x:row r="40" ht="15" hidden="0" customHeight="1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</x:row>
  </x:sheetData>
  <x:conditionalFormatting sqref="M14:M28">
    <x:cfRule type="cellIs" dxfId="3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28d9b9a1fe84c0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7.780000686645508" hidden="0" customWidth="1"/>
    <x:col min="5" max="5" width="10.5600004196167" hidden="0" customWidth="1"/>
    <x:col min="6" max="6" width="11.670000076293945" hidden="0" customWidth="1"/>
    <x:col min="7" max="7" width="10.5600004196167" hidden="0" customWidth="1"/>
    <x:col min="8" max="8" width="11.670000076293945" hidden="0" customWidth="1"/>
    <x:col min="9" max="9" width="10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2.220000267028809" hidden="0" customWidth="1"/>
    <x:col min="14" max="14" width="12.220000267028809" hidden="0" customWidth="1"/>
    <x:col min="15" max="15" width="9.4399995803833" hidden="0" customWidth="1"/>
    <x:col min="16" max="16" width="11.670000076293945" hidden="0" customWidth="1"/>
  </x:cols>
  <x:sheetData>
    <x:row r="1" ht="21.600000381469727" hidden="0" customHeight="1">
      <x:c r="A1" s="4" t="str">
        <x:v>Computer Shop Product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15" hidden="0" customHeight="1">
      <x:c r="A2" s="8" t="str">
        <x:v>Edit cost, selling price, opening stock, and reorder level here. Formula columns update from Sales and Purchases.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/>
    <x:row r="4" ht="26.399999618530273" hidden="0" customHeight="1">
      <x:c r="A4" s="14" t="str">
        <x:v>SKU</x:v>
      </x:c>
      <x:c r="B4" s="14" t="str">
        <x:v>Product</x:v>
      </x:c>
      <x:c r="C4" s="14" t="str">
        <x:v>Category</x:v>
      </x:c>
      <x:c r="D4" s="14" t="str">
        <x:v>Supplier</x:v>
      </x:c>
      <x:c r="E4" s="14" t="str">
        <x:v>Cost Price</x:v>
      </x:c>
      <x:c r="F4" s="14" t="str">
        <x:v>Selling Price</x:v>
      </x:c>
      <x:c r="G4" s="14" t="str">
        <x:v>Opening Stock</x:v>
      </x:c>
      <x:c r="H4" s="14" t="str">
        <x:v>Purchases Added</x:v>
      </x:c>
      <x:c r="I4" s="14" t="str">
        <x:v>Units Sold</x:v>
      </x:c>
      <x:c r="J4" s="14" t="str">
        <x:v>Current Stock</x:v>
      </x:c>
      <x:c r="K4" s="14" t="str">
        <x:v>Reorder Level</x:v>
      </x:c>
      <x:c r="L4" s="14" t="str">
        <x:v>Reorder Qty</x:v>
      </x:c>
      <x:c r="M4" s="14" t="str">
        <x:v>Stock Value</x:v>
      </x:c>
      <x:c r="N4" s="14" t="str">
        <x:v>Retail Value</x:v>
      </x:c>
      <x:c r="O4" s="14" t="str">
        <x:v>Margin %</x:v>
      </x:c>
      <x:c r="P4" s="14" t="str">
        <x:v>Status</x:v>
      </x:c>
    </x:row>
    <x:row r="5" ht="15" hidden="0" customHeight="1">
      <x:c r="A5" s="18" t="str">
        <x:v>SKU-001</x:v>
      </x:c>
      <x:c r="B5" s="18" t="str">
        <x:v>Wireless Mouse</x:v>
      </x:c>
      <x:c r="C5" s="18" t="str">
        <x:v>Mouse</x:v>
      </x:c>
      <x:c r="D5" s="18" t="str">
        <x:v>TechSource Lahore</x:v>
      </x:c>
      <x:c r="E5" s="19" t="n">
        <x:v>950</x:v>
      </x:c>
      <x:c r="F5" s="19" t="n">
        <x:v>1450</x:v>
      </x:c>
      <x:c r="G5" s="21" t="n">
        <x:v>35</x:v>
      </x:c>
      <x:c r="H5" s="21" t="n">
        <x:f>IF($A5="","",SUMIFS(Purchases!$E$2:$E$501,Purchases!$C$2:$C$501,$A5))</x:f>
        <x:v>10</x:v>
      </x:c>
      <x:c r="I5" s="21" t="n">
        <x:f>IF($A5="","",SUMIFS(Sales!$D$2:$D$501,Sales!$C$2:$C$501,$A5,Sales!$J$2:$J$501,"Completed"))</x:f>
        <x:v>3</x:v>
      </x:c>
      <x:c r="J5" s="21" t="n">
        <x:f>IF($A5="","",$G5+$H5-$I5)</x:f>
        <x:v>42</x:v>
      </x:c>
      <x:c r="K5" s="21" t="n">
        <x:v>12</x:v>
      </x:c>
      <x:c r="L5" s="21" t="n">
        <x:f>IF($A5="","",MAX($K5-$J5,0))</x:f>
        <x:v>0</x:v>
      </x:c>
      <x:c r="M5" s="19" t="n">
        <x:f>IF($A5="","",$J5*$E5)</x:f>
        <x:v>39900</x:v>
      </x:c>
      <x:c r="N5" s="19" t="n">
        <x:f>IF($A5="","",$J5*$F5)</x:f>
        <x:v>60900</x:v>
      </x:c>
      <x:c r="O5" s="20" t="n">
        <x:f>IF($A5="","",IFERROR(($F5-$E5)/$F5,0))</x:f>
        <x:v>0.3448275862068966</x:v>
      </x:c>
      <x:c r="P5" s="18" t="str">
        <x:f>IF($A5="","",IF($J5&lt;=0,"Out of Stock",IF($J5&lt;=$K5,"Reorder","OK")))</x:f>
        <x:v>OK</x:v>
      </x:c>
    </x:row>
    <x:row r="6" ht="15" hidden="0" customHeight="1">
      <x:c r="A6" s="18" t="str">
        <x:v>SKU-002</x:v>
      </x:c>
      <x:c r="B6" s="18" t="str">
        <x:v>Gaming Mouse RGB</x:v>
      </x:c>
      <x:c r="C6" s="18" t="str">
        <x:v>Mouse</x:v>
      </x:c>
      <x:c r="D6" s="18" t="str">
        <x:v>TechSource Lahore</x:v>
      </x:c>
      <x:c r="E6" s="19" t="n">
        <x:v>1850</x:v>
      </x:c>
      <x:c r="F6" s="19" t="n">
        <x:v>2850</x:v>
      </x:c>
      <x:c r="G6" s="21" t="n">
        <x:v>18</x:v>
      </x:c>
      <x:c r="H6" s="21" t="n">
        <x:f>IF($A6="","",SUMIFS(Purchases!$E$2:$E$501,Purchases!$C$2:$C$501,$A6))</x:f>
        <x:v>0</x:v>
      </x:c>
      <x:c r="I6" s="21" t="n">
        <x:f>IF($A6="","",SUMIFS(Sales!$D$2:$D$501,Sales!$C$2:$C$501,$A6,Sales!$J$2:$J$501,"Completed"))</x:f>
        <x:v>0</x:v>
      </x:c>
      <x:c r="J6" s="21" t="n">
        <x:f>IF($A6="","",$G6+$H6-$I6)</x:f>
        <x:v>18</x:v>
      </x:c>
      <x:c r="K6" s="21" t="n">
        <x:v>8</x:v>
      </x:c>
      <x:c r="L6" s="21" t="n">
        <x:f>IF($A6="","",MAX($K6-$J6,0))</x:f>
        <x:v>0</x:v>
      </x:c>
      <x:c r="M6" s="19" t="n">
        <x:f>IF($A6="","",$J6*$E6)</x:f>
        <x:v>33300</x:v>
      </x:c>
      <x:c r="N6" s="19" t="n">
        <x:f>IF($A6="","",$J6*$F6)</x:f>
        <x:v>51300</x:v>
      </x:c>
      <x:c r="O6" s="20" t="n">
        <x:f>IF($A6="","",IFERROR(($F6-$E6)/$F6,0))</x:f>
        <x:v>0.3508771929824561</x:v>
      </x:c>
      <x:c r="P6" s="18" t="str">
        <x:f>IF($A6="","",IF($J6&lt;=0,"Out of Stock",IF($J6&lt;=$K6,"Reorder","OK")))</x:f>
        <x:v>OK</x:v>
      </x:c>
    </x:row>
    <x:row r="7" ht="15" hidden="0" customHeight="1">
      <x:c r="A7" s="18" t="str">
        <x:v>SKU-003</x:v>
      </x:c>
      <x:c r="B7" s="18" t="str">
        <x:v>USB Keyboard</x:v>
      </x:c>
      <x:c r="C7" s="18" t="str">
        <x:v>Keyboard</x:v>
      </x:c>
      <x:c r="D7" s="18" t="str">
        <x:v>Karachi IT Wholesale</x:v>
      </x:c>
      <x:c r="E7" s="19" t="n">
        <x:v>1450</x:v>
      </x:c>
      <x:c r="F7" s="19" t="n">
        <x:v>2200</x:v>
      </x:c>
      <x:c r="G7" s="21" t="n">
        <x:v>28</x:v>
      </x:c>
      <x:c r="H7" s="21" t="n">
        <x:f>IF($A7="","",SUMIFS(Purchases!$E$2:$E$501,Purchases!$C$2:$C$501,$A7))</x:f>
        <x:v>8</x:v>
      </x:c>
      <x:c r="I7" s="21" t="n">
        <x:f>IF($A7="","",SUMIFS(Sales!$D$2:$D$501,Sales!$C$2:$C$501,$A7,Sales!$J$2:$J$501,"Completed"))</x:f>
        <x:v>2</x:v>
      </x:c>
      <x:c r="J7" s="21" t="n">
        <x:f>IF($A7="","",$G7+$H7-$I7)</x:f>
        <x:v>34</x:v>
      </x:c>
      <x:c r="K7" s="21" t="n">
        <x:v>10</x:v>
      </x:c>
      <x:c r="L7" s="21" t="n">
        <x:f>IF($A7="","",MAX($K7-$J7,0))</x:f>
        <x:v>0</x:v>
      </x:c>
      <x:c r="M7" s="19" t="n">
        <x:f>IF($A7="","",$J7*$E7)</x:f>
        <x:v>49300</x:v>
      </x:c>
      <x:c r="N7" s="19" t="n">
        <x:f>IF($A7="","",$J7*$F7)</x:f>
        <x:v>74800</x:v>
      </x:c>
      <x:c r="O7" s="20" t="n">
        <x:f>IF($A7="","",IFERROR(($F7-$E7)/$F7,0))</x:f>
        <x:v>0.3409090909090909</x:v>
      </x:c>
      <x:c r="P7" s="18" t="str">
        <x:f>IF($A7="","",IF($J7&lt;=0,"Out of Stock",IF($J7&lt;=$K7,"Reorder","OK")))</x:f>
        <x:v>OK</x:v>
      </x:c>
    </x:row>
    <x:row r="8" ht="15" hidden="0" customHeight="1">
      <x:c r="A8" s="18" t="str">
        <x:v>SKU-004</x:v>
      </x:c>
      <x:c r="B8" s="18" t="str">
        <x:v>Mechanical Keyboard</x:v>
      </x:c>
      <x:c r="C8" s="18" t="str">
        <x:v>Keyboard</x:v>
      </x:c>
      <x:c r="D8" s="18" t="str">
        <x:v>Karachi IT Wholesale</x:v>
      </x:c>
      <x:c r="E8" s="19" t="n">
        <x:v>5200</x:v>
      </x:c>
      <x:c r="F8" s="19" t="n">
        <x:v>7800</x:v>
      </x:c>
      <x:c r="G8" s="21" t="n">
        <x:v>12</x:v>
      </x:c>
      <x:c r="H8" s="21" t="n">
        <x:f>IF($A8="","",SUMIFS(Purchases!$E$2:$E$501,Purchases!$C$2:$C$501,$A8))</x:f>
        <x:v>0</x:v>
      </x:c>
      <x:c r="I8" s="21" t="n">
        <x:f>IF($A8="","",SUMIFS(Sales!$D$2:$D$501,Sales!$C$2:$C$501,$A8,Sales!$J$2:$J$501,"Completed"))</x:f>
        <x:v>1</x:v>
      </x:c>
      <x:c r="J8" s="21" t="n">
        <x:f>IF($A8="","",$G8+$H8-$I8)</x:f>
        <x:v>11</x:v>
      </x:c>
      <x:c r="K8" s="21" t="n">
        <x:v>5</x:v>
      </x:c>
      <x:c r="L8" s="21" t="n">
        <x:f>IF($A8="","",MAX($K8-$J8,0))</x:f>
        <x:v>0</x:v>
      </x:c>
      <x:c r="M8" s="19" t="n">
        <x:f>IF($A8="","",$J8*$E8)</x:f>
        <x:v>57200</x:v>
      </x:c>
      <x:c r="N8" s="19" t="n">
        <x:f>IF($A8="","",$J8*$F8)</x:f>
        <x:v>85800</x:v>
      </x:c>
      <x:c r="O8" s="20" t="n">
        <x:f>IF($A8="","",IFERROR(($F8-$E8)/$F8,0))</x:f>
        <x:v>0.3333333333333333</x:v>
      </x:c>
      <x:c r="P8" s="18" t="str">
        <x:f>IF($A8="","",IF($J8&lt;=0,"Out of Stock",IF($J8&lt;=$K8,"Reorder","OK")))</x:f>
        <x:v>OK</x:v>
      </x:c>
    </x:row>
    <x:row r="9" ht="15" hidden="0" customHeight="1">
      <x:c r="A9" s="18" t="str">
        <x:v>SKU-005</x:v>
      </x:c>
      <x:c r="B9" s="18" t="str">
        <x:v>HDMI Cable 2m</x:v>
      </x:c>
      <x:c r="C9" s="18" t="str">
        <x:v>Cable</x:v>
      </x:c>
      <x:c r="D9" s="18" t="str">
        <x:v>CableMart</x:v>
      </x:c>
      <x:c r="E9" s="19" t="n">
        <x:v>320</x:v>
      </x:c>
      <x:c r="F9" s="19" t="n">
        <x:v>650</x:v>
      </x:c>
      <x:c r="G9" s="21" t="n">
        <x:v>60</x:v>
      </x:c>
      <x:c r="H9" s="21" t="n">
        <x:f>IF($A9="","",SUMIFS(Purchases!$E$2:$E$501,Purchases!$C$2:$C$501,$A9))</x:f>
        <x:v>20</x:v>
      </x:c>
      <x:c r="I9" s="21" t="n">
        <x:f>IF($A9="","",SUMIFS(Sales!$D$2:$D$501,Sales!$C$2:$C$501,$A9,Sales!$J$2:$J$501,"Completed"))</x:f>
        <x:v>8</x:v>
      </x:c>
      <x:c r="J9" s="21" t="n">
        <x:f>IF($A9="","",$G9+$H9-$I9)</x:f>
        <x:v>72</x:v>
      </x:c>
      <x:c r="K9" s="21" t="n">
        <x:v>20</x:v>
      </x:c>
      <x:c r="L9" s="21" t="n">
        <x:f>IF($A9="","",MAX($K9-$J9,0))</x:f>
        <x:v>0</x:v>
      </x:c>
      <x:c r="M9" s="19" t="n">
        <x:f>IF($A9="","",$J9*$E9)</x:f>
        <x:v>23040</x:v>
      </x:c>
      <x:c r="N9" s="19" t="n">
        <x:f>IF($A9="","",$J9*$F9)</x:f>
        <x:v>46800</x:v>
      </x:c>
      <x:c r="O9" s="20" t="n">
        <x:f>IF($A9="","",IFERROR(($F9-$E9)/$F9,0))</x:f>
        <x:v>0.5076923076923077</x:v>
      </x:c>
      <x:c r="P9" s="18" t="str">
        <x:f>IF($A9="","",IF($J9&lt;=0,"Out of Stock",IF($J9&lt;=$K9,"Reorder","OK")))</x:f>
        <x:v>OK</x:v>
      </x:c>
    </x:row>
    <x:row r="10" ht="15" hidden="0" customHeight="1">
      <x:c r="A10" s="18" t="str">
        <x:v>SKU-006</x:v>
      </x:c>
      <x:c r="B10" s="18" t="str">
        <x:v>USB-C Cable</x:v>
      </x:c>
      <x:c r="C10" s="18" t="str">
        <x:v>Cable</x:v>
      </x:c>
      <x:c r="D10" s="18" t="str">
        <x:v>CableMart</x:v>
      </x:c>
      <x:c r="E10" s="19" t="n">
        <x:v>280</x:v>
      </x:c>
      <x:c r="F10" s="19" t="n">
        <x:v>550</x:v>
      </x:c>
      <x:c r="G10" s="21" t="n">
        <x:v>75</x:v>
      </x:c>
      <x:c r="H10" s="21" t="n">
        <x:f>IF($A10="","",SUMIFS(Purchases!$E$2:$E$501,Purchases!$C$2:$C$501,$A10))</x:f>
        <x:v>0</x:v>
      </x:c>
      <x:c r="I10" s="21" t="n">
        <x:f>IF($A10="","",SUMIFS(Sales!$D$2:$D$501,Sales!$C$2:$C$501,$A10,Sales!$J$2:$J$501,"Completed"))</x:f>
        <x:v>0</x:v>
      </x:c>
      <x:c r="J10" s="21" t="n">
        <x:f>IF($A10="","",$G10+$H10-$I10)</x:f>
        <x:v>75</x:v>
      </x:c>
      <x:c r="K10" s="21" t="n">
        <x:v>25</x:v>
      </x:c>
      <x:c r="L10" s="21" t="n">
        <x:f>IF($A10="","",MAX($K10-$J10,0))</x:f>
        <x:v>0</x:v>
      </x:c>
      <x:c r="M10" s="19" t="n">
        <x:f>IF($A10="","",$J10*$E10)</x:f>
        <x:v>21000</x:v>
      </x:c>
      <x:c r="N10" s="19" t="n">
        <x:f>IF($A10="","",$J10*$F10)</x:f>
        <x:v>41250</x:v>
      </x:c>
      <x:c r="O10" s="20" t="n">
        <x:f>IF($A10="","",IFERROR(($F10-$E10)/$F10,0))</x:f>
        <x:v>0.4909090909090909</x:v>
      </x:c>
      <x:c r="P10" s="18" t="str">
        <x:f>IF($A10="","",IF($J10&lt;=0,"Out of Stock",IF($J10&lt;=$K10,"Reorder","OK")))</x:f>
        <x:v>OK</x:v>
      </x:c>
    </x:row>
    <x:row r="11" ht="15" hidden="0" customHeight="1">
      <x:c r="A11" s="18" t="str">
        <x:v>SKU-007</x:v>
      </x:c>
      <x:c r="B11" s="18" t="str">
        <x:v>Laptop Charger 65W</x:v>
      </x:c>
      <x:c r="C11" s="18" t="str">
        <x:v>Charger</x:v>
      </x:c>
      <x:c r="D11" s="18" t="str">
        <x:v>PowerParts PK</x:v>
      </x:c>
      <x:c r="E11" s="19" t="n">
        <x:v>2100</x:v>
      </x:c>
      <x:c r="F11" s="19" t="n">
        <x:v>3350</x:v>
      </x:c>
      <x:c r="G11" s="21" t="n">
        <x:v>20</x:v>
      </x:c>
      <x:c r="H11" s="21" t="n">
        <x:f>IF($A11="","",SUMIFS(Purchases!$E$2:$E$501,Purchases!$C$2:$C$501,$A11))</x:f>
        <x:v>6</x:v>
      </x:c>
      <x:c r="I11" s="21" t="n">
        <x:f>IF($A11="","",SUMIFS(Sales!$D$2:$D$501,Sales!$C$2:$C$501,$A11,Sales!$J$2:$J$501,"Completed"))</x:f>
        <x:v>2</x:v>
      </x:c>
      <x:c r="J11" s="21" t="n">
        <x:f>IF($A11="","",$G11+$H11-$I11)</x:f>
        <x:v>24</x:v>
      </x:c>
      <x:c r="K11" s="21" t="n">
        <x:v>8</x:v>
      </x:c>
      <x:c r="L11" s="21" t="n">
        <x:f>IF($A11="","",MAX($K11-$J11,0))</x:f>
        <x:v>0</x:v>
      </x:c>
      <x:c r="M11" s="19" t="n">
        <x:f>IF($A11="","",$J11*$E11)</x:f>
        <x:v>50400</x:v>
      </x:c>
      <x:c r="N11" s="19" t="n">
        <x:f>IF($A11="","",$J11*$F11)</x:f>
        <x:v>80400</x:v>
      </x:c>
      <x:c r="O11" s="20" t="n">
        <x:f>IF($A11="","",IFERROR(($F11-$E11)/$F11,0))</x:f>
        <x:v>0.373134328358209</x:v>
      </x:c>
      <x:c r="P11" s="18" t="str">
        <x:f>IF($A11="","",IF($J11&lt;=0,"Out of Stock",IF($J11&lt;=$K11,"Reorder","OK")))</x:f>
        <x:v>OK</x:v>
      </x:c>
    </x:row>
    <x:row r="12" ht="15" hidden="0" customHeight="1">
      <x:c r="A12" s="18" t="str">
        <x:v>SKU-008</x:v>
      </x:c>
      <x:c r="B12" s="18" t="str">
        <x:v>USB WiFi Adapter</x:v>
      </x:c>
      <x:c r="C12" s="18" t="str">
        <x:v>Adapter</x:v>
      </x:c>
      <x:c r="D12" s="18" t="str">
        <x:v>Network Hub</x:v>
      </x:c>
      <x:c r="E12" s="19" t="n">
        <x:v>1200</x:v>
      </x:c>
      <x:c r="F12" s="19" t="n">
        <x:v>1950</x:v>
      </x:c>
      <x:c r="G12" s="21" t="n">
        <x:v>22</x:v>
      </x:c>
      <x:c r="H12" s="21" t="n">
        <x:f>IF($A12="","",SUMIFS(Purchases!$E$2:$E$501,Purchases!$C$2:$C$501,$A12))</x:f>
        <x:v>0</x:v>
      </x:c>
      <x:c r="I12" s="21" t="n">
        <x:f>IF($A12="","",SUMIFS(Sales!$D$2:$D$501,Sales!$C$2:$C$501,$A12,Sales!$J$2:$J$501,"Completed"))</x:f>
        <x:v>0</x:v>
      </x:c>
      <x:c r="J12" s="21" t="n">
        <x:f>IF($A12="","",$G12+$H12-$I12)</x:f>
        <x:v>22</x:v>
      </x:c>
      <x:c r="K12" s="21" t="n">
        <x:v>8</x:v>
      </x:c>
      <x:c r="L12" s="21" t="n">
        <x:f>IF($A12="","",MAX($K12-$J12,0))</x:f>
        <x:v>0</x:v>
      </x:c>
      <x:c r="M12" s="19" t="n">
        <x:f>IF($A12="","",$J12*$E12)</x:f>
        <x:v>26400</x:v>
      </x:c>
      <x:c r="N12" s="19" t="n">
        <x:f>IF($A12="","",$J12*$F12)</x:f>
        <x:v>42900</x:v>
      </x:c>
      <x:c r="O12" s="20" t="n">
        <x:f>IF($A12="","",IFERROR(($F12-$E12)/$F12,0))</x:f>
        <x:v>0.38461538461538464</x:v>
      </x:c>
      <x:c r="P12" s="18" t="str">
        <x:f>IF($A12="","",IF($J12&lt;=0,"Out of Stock",IF($J12&lt;=$K12,"Reorder","OK")))</x:f>
        <x:v>OK</x:v>
      </x:c>
    </x:row>
    <x:row r="13" ht="15" hidden="0" customHeight="1">
      <x:c r="A13" s="18" t="str">
        <x:v>SKU-009</x:v>
      </x:c>
      <x:c r="B13" s="18" t="str">
        <x:v>Bluetooth Headset</x:v>
      </x:c>
      <x:c r="C13" s="18" t="str">
        <x:v>Headset</x:v>
      </x:c>
      <x:c r="D13" s="18" t="str">
        <x:v>SoundLine</x:v>
      </x:c>
      <x:c r="E13" s="19" t="n">
        <x:v>2500</x:v>
      </x:c>
      <x:c r="F13" s="19" t="n">
        <x:v>3950</x:v>
      </x:c>
      <x:c r="G13" s="21" t="n">
        <x:v>16</x:v>
      </x:c>
      <x:c r="H13" s="21" t="n">
        <x:f>IF($A13="","",SUMIFS(Purchases!$E$2:$E$501,Purchases!$C$2:$C$501,$A13))</x:f>
        <x:v>0</x:v>
      </x:c>
      <x:c r="I13" s="21" t="n">
        <x:f>IF($A13="","",SUMIFS(Sales!$D$2:$D$501,Sales!$C$2:$C$501,$A13,Sales!$J$2:$J$501,"Completed"))</x:f>
        <x:v>1</x:v>
      </x:c>
      <x:c r="J13" s="21" t="n">
        <x:f>IF($A13="","",$G13+$H13-$I13)</x:f>
        <x:v>15</x:v>
      </x:c>
      <x:c r="K13" s="21" t="n">
        <x:v>6</x:v>
      </x:c>
      <x:c r="L13" s="21" t="n">
        <x:f>IF($A13="","",MAX($K13-$J13,0))</x:f>
        <x:v>0</x:v>
      </x:c>
      <x:c r="M13" s="19" t="n">
        <x:f>IF($A13="","",$J13*$E13)</x:f>
        <x:v>37500</x:v>
      </x:c>
      <x:c r="N13" s="19" t="n">
        <x:f>IF($A13="","",$J13*$F13)</x:f>
        <x:v>59250</x:v>
      </x:c>
      <x:c r="O13" s="20" t="n">
        <x:f>IF($A13="","",IFERROR(($F13-$E13)/$F13,0))</x:f>
        <x:v>0.3670886075949367</x:v>
      </x:c>
      <x:c r="P13" s="18" t="str">
        <x:f>IF($A13="","",IF($J13&lt;=0,"Out of Stock",IF($J13&lt;=$K13,"Reorder","OK")))</x:f>
        <x:v>OK</x:v>
      </x:c>
    </x:row>
    <x:row r="14" ht="15" hidden="0" customHeight="1">
      <x:c r="A14" s="18" t="str">
        <x:v>SKU-010</x:v>
      </x:c>
      <x:c r="B14" s="18" t="str">
        <x:v>Webcam 1080p</x:v>
      </x:c>
      <x:c r="C14" s="18" t="str">
        <x:v>Webcam</x:v>
      </x:c>
      <x:c r="D14" s="18" t="str">
        <x:v>CameraTech</x:v>
      </x:c>
      <x:c r="E14" s="19" t="n">
        <x:v>3400</x:v>
      </x:c>
      <x:c r="F14" s="19" t="n">
        <x:v>5200</x:v>
      </x:c>
      <x:c r="G14" s="21" t="n">
        <x:v>10</x:v>
      </x:c>
      <x:c r="H14" s="21" t="n">
        <x:f>IF($A14="","",SUMIFS(Purchases!$E$2:$E$501,Purchases!$C$2:$C$501,$A14))</x:f>
        <x:v>0</x:v>
      </x:c>
      <x:c r="I14" s="21" t="n">
        <x:f>IF($A14="","",SUMIFS(Sales!$D$2:$D$501,Sales!$C$2:$C$501,$A14,Sales!$J$2:$J$501,"Completed"))</x:f>
        <x:v>0</x:v>
      </x:c>
      <x:c r="J14" s="21" t="n">
        <x:f>IF($A14="","",$G14+$H14-$I14)</x:f>
        <x:v>10</x:v>
      </x:c>
      <x:c r="K14" s="21" t="n">
        <x:v>4</x:v>
      </x:c>
      <x:c r="L14" s="21" t="n">
        <x:f>IF($A14="","",MAX($K14-$J14,0))</x:f>
        <x:v>0</x:v>
      </x:c>
      <x:c r="M14" s="19" t="n">
        <x:f>IF($A14="","",$J14*$E14)</x:f>
        <x:v>34000</x:v>
      </x:c>
      <x:c r="N14" s="19" t="n">
        <x:f>IF($A14="","",$J14*$F14)</x:f>
        <x:v>52000</x:v>
      </x:c>
      <x:c r="O14" s="20" t="n">
        <x:f>IF($A14="","",IFERROR(($F14-$E14)/$F14,0))</x:f>
        <x:v>0.34615384615384615</x:v>
      </x:c>
      <x:c r="P14" s="18" t="str">
        <x:f>IF($A14="","",IF($J14&lt;=0,"Out of Stock",IF($J14&lt;=$K14,"Reorder","OK")))</x:f>
        <x:v>OK</x:v>
      </x:c>
    </x:row>
    <x:row r="15" ht="15" hidden="0" customHeight="1">
      <x:c r="A15" s="18" t="str">
        <x:v>SKU-011</x:v>
      </x:c>
      <x:c r="B15" s="18" t="str">
        <x:v>USB Flash Drive 64GB</x:v>
      </x:c>
      <x:c r="C15" s="18" t="str">
        <x:v>Storage</x:v>
      </x:c>
      <x:c r="D15" s="18" t="str">
        <x:v>Memory World</x:v>
      </x:c>
      <x:c r="E15" s="19" t="n">
        <x:v>1050</x:v>
      </x:c>
      <x:c r="F15" s="19" t="n">
        <x:v>1650</x:v>
      </x:c>
      <x:c r="G15" s="21" t="n">
        <x:v>45</x:v>
      </x:c>
      <x:c r="H15" s="21" t="n">
        <x:f>IF($A15="","",SUMIFS(Purchases!$E$2:$E$501,Purchases!$C$2:$C$501,$A15))</x:f>
        <x:v>12</x:v>
      </x:c>
      <x:c r="I15" s="21" t="n">
        <x:f>IF($A15="","",SUMIFS(Sales!$D$2:$D$501,Sales!$C$2:$C$501,$A15,Sales!$J$2:$J$501,"Completed"))</x:f>
        <x:v>5</x:v>
      </x:c>
      <x:c r="J15" s="21" t="n">
        <x:f>IF($A15="","",$G15+$H15-$I15)</x:f>
        <x:v>52</x:v>
      </x:c>
      <x:c r="K15" s="21" t="n">
        <x:v>15</x:v>
      </x:c>
      <x:c r="L15" s="21" t="n">
        <x:f>IF($A15="","",MAX($K15-$J15,0))</x:f>
        <x:v>0</x:v>
      </x:c>
      <x:c r="M15" s="19" t="n">
        <x:f>IF($A15="","",$J15*$E15)</x:f>
        <x:v>54600</x:v>
      </x:c>
      <x:c r="N15" s="19" t="n">
        <x:f>IF($A15="","",$J15*$F15)</x:f>
        <x:v>85800</x:v>
      </x:c>
      <x:c r="O15" s="20" t="n">
        <x:f>IF($A15="","",IFERROR(($F15-$E15)/$F15,0))</x:f>
        <x:v>0.36363636363636365</x:v>
      </x:c>
      <x:c r="P15" s="18" t="str">
        <x:f>IF($A15="","",IF($J15&lt;=0,"Out of Stock",IF($J15&lt;=$K15,"Reorder","OK")))</x:f>
        <x:v>OK</x:v>
      </x:c>
    </x:row>
    <x:row r="16" ht="15" hidden="0" customHeight="1">
      <x:c r="A16" s="18" t="str">
        <x:v>SKU-012</x:v>
      </x:c>
      <x:c r="B16" s="18" t="str">
        <x:v>External SSD 512GB</x:v>
      </x:c>
      <x:c r="C16" s="18" t="str">
        <x:v>Storage</x:v>
      </x:c>
      <x:c r="D16" s="18" t="str">
        <x:v>Memory World</x:v>
      </x:c>
      <x:c r="E16" s="19" t="n">
        <x:v>9800</x:v>
      </x:c>
      <x:c r="F16" s="19" t="n">
        <x:v>13200</x:v>
      </x:c>
      <x:c r="G16" s="21" t="n">
        <x:v>7</x:v>
      </x:c>
      <x:c r="H16" s="21" t="n">
        <x:f>IF($A16="","",SUMIFS(Purchases!$E$2:$E$501,Purchases!$C$2:$C$501,$A16))</x:f>
        <x:v>0</x:v>
      </x:c>
      <x:c r="I16" s="21" t="n">
        <x:f>IF($A16="","",SUMIFS(Sales!$D$2:$D$501,Sales!$C$2:$C$501,$A16,Sales!$J$2:$J$501,"Completed"))</x:f>
        <x:v>0</x:v>
      </x:c>
      <x:c r="J16" s="21" t="n">
        <x:f>IF($A16="","",$G16+$H16-$I16)</x:f>
        <x:v>7</x:v>
      </x:c>
      <x:c r="K16" s="21" t="n">
        <x:v>3</x:v>
      </x:c>
      <x:c r="L16" s="21" t="n">
        <x:f>IF($A16="","",MAX($K16-$J16,0))</x:f>
        <x:v>0</x:v>
      </x:c>
      <x:c r="M16" s="19" t="n">
        <x:f>IF($A16="","",$J16*$E16)</x:f>
        <x:v>68600</x:v>
      </x:c>
      <x:c r="N16" s="19" t="n">
        <x:f>IF($A16="","",$J16*$F16)</x:f>
        <x:v>92400</x:v>
      </x:c>
      <x:c r="O16" s="20" t="n">
        <x:f>IF($A16="","",IFERROR(($F16-$E16)/$F16,0))</x:f>
        <x:v>0.25757575757575757</x:v>
      </x:c>
      <x:c r="P16" s="18" t="str">
        <x:f>IF($A16="","",IF($J16&lt;=0,"Out of Stock",IF($J16&lt;=$K16,"Reorder","OK")))</x:f>
        <x:v>OK</x:v>
      </x:c>
    </x:row>
    <x:row r="17" ht="15" hidden="0" customHeight="1">
      <x:c r="A17" s="18" t="str">
        <x:v>SKU-013</x:v>
      </x:c>
      <x:c r="B17" s="18" t="str">
        <x:v>Printer USB Cable</x:v>
      </x:c>
      <x:c r="C17" s="18" t="str">
        <x:v>Printer Accessory</x:v>
      </x:c>
      <x:c r="D17" s="18" t="str">
        <x:v>CableMart</x:v>
      </x:c>
      <x:c r="E17" s="19" t="n">
        <x:v>240</x:v>
      </x:c>
      <x:c r="F17" s="19" t="n">
        <x:v>500</x:v>
      </x:c>
      <x:c r="G17" s="21" t="n">
        <x:v>42</x:v>
      </x:c>
      <x:c r="H17" s="21" t="n">
        <x:f>IF($A17="","",SUMIFS(Purchases!$E$2:$E$501,Purchases!$C$2:$C$501,$A17))</x:f>
        <x:v>0</x:v>
      </x:c>
      <x:c r="I17" s="21" t="n">
        <x:f>IF($A17="","",SUMIFS(Sales!$D$2:$D$501,Sales!$C$2:$C$501,$A17,Sales!$J$2:$J$501,"Completed"))</x:f>
        <x:v>0</x:v>
      </x:c>
      <x:c r="J17" s="21" t="n">
        <x:f>IF($A17="","",$G17+$H17-$I17)</x:f>
        <x:v>42</x:v>
      </x:c>
      <x:c r="K17" s="21" t="n">
        <x:v>15</x:v>
      </x:c>
      <x:c r="L17" s="21" t="n">
        <x:f>IF($A17="","",MAX($K17-$J17,0))</x:f>
        <x:v>0</x:v>
      </x:c>
      <x:c r="M17" s="19" t="n">
        <x:f>IF($A17="","",$J17*$E17)</x:f>
        <x:v>10080</x:v>
      </x:c>
      <x:c r="N17" s="19" t="n">
        <x:f>IF($A17="","",$J17*$F17)</x:f>
        <x:v>21000</x:v>
      </x:c>
      <x:c r="O17" s="20" t="n">
        <x:f>IF($A17="","",IFERROR(($F17-$E17)/$F17,0))</x:f>
        <x:v>0.52</x:v>
      </x:c>
      <x:c r="P17" s="18" t="str">
        <x:f>IF($A17="","",IF($J17&lt;=0,"Out of Stock",IF($J17&lt;=$K17,"Reorder","OK")))</x:f>
        <x:v>OK</x:v>
      </x:c>
    </x:row>
    <x:row r="18" ht="15" hidden="0" customHeight="1">
      <x:c r="A18" s="18" t="str">
        <x:v>SKU-014</x:v>
      </x:c>
      <x:c r="B18" s="18" t="str">
        <x:v>Mouse Pad</x:v>
      </x:c>
      <x:c r="C18" s="18" t="str">
        <x:v>Mouse</x:v>
      </x:c>
      <x:c r="D18" s="18" t="str">
        <x:v>TechSource Lahore</x:v>
      </x:c>
      <x:c r="E18" s="19" t="n">
        <x:v>180</x:v>
      </x:c>
      <x:c r="F18" s="19" t="n">
        <x:v>350</x:v>
      </x:c>
      <x:c r="G18" s="21" t="n">
        <x:v>80</x:v>
      </x:c>
      <x:c r="H18" s="21" t="n">
        <x:f>IF($A18="","",SUMIFS(Purchases!$E$2:$E$501,Purchases!$C$2:$C$501,$A18))</x:f>
        <x:v>0</x:v>
      </x:c>
      <x:c r="I18" s="21" t="n">
        <x:f>IF($A18="","",SUMIFS(Sales!$D$2:$D$501,Sales!$C$2:$C$501,$A18,Sales!$J$2:$J$501,"Completed"))</x:f>
        <x:v>10</x:v>
      </x:c>
      <x:c r="J18" s="21" t="n">
        <x:f>IF($A18="","",$G18+$H18-$I18)</x:f>
        <x:v>70</x:v>
      </x:c>
      <x:c r="K18" s="21" t="n">
        <x:v>30</x:v>
      </x:c>
      <x:c r="L18" s="21" t="n">
        <x:f>IF($A18="","",MAX($K18-$J18,0))</x:f>
        <x:v>0</x:v>
      </x:c>
      <x:c r="M18" s="19" t="n">
        <x:f>IF($A18="","",$J18*$E18)</x:f>
        <x:v>12600</x:v>
      </x:c>
      <x:c r="N18" s="19" t="n">
        <x:f>IF($A18="","",$J18*$F18)</x:f>
        <x:v>24500</x:v>
      </x:c>
      <x:c r="O18" s="20" t="n">
        <x:f>IF($A18="","",IFERROR(($F18-$E18)/$F18,0))</x:f>
        <x:v>0.4857142857142857</x:v>
      </x:c>
      <x:c r="P18" s="18" t="str">
        <x:f>IF($A18="","",IF($J18&lt;=0,"Out of Stock",IF($J18&lt;=$K18,"Reorder","OK")))</x:f>
        <x:v>OK</x:v>
      </x:c>
    </x:row>
    <x:row r="19" ht="15" hidden="0" customHeight="1">
      <x:c r="A19" s="18" t="str">
        <x:v>SKU-015</x:v>
      </x:c>
      <x:c r="B19" s="18" t="str">
        <x:v>Laptop Cooling Pad</x:v>
      </x:c>
      <x:c r="C19" s="18" t="str">
        <x:v>Laptop Accessory</x:v>
      </x:c>
      <x:c r="D19" s="18" t="str">
        <x:v>PowerParts PK</x:v>
      </x:c>
      <x:c r="E19" s="19" t="n">
        <x:v>1800</x:v>
      </x:c>
      <x:c r="F19" s="19" t="n">
        <x:v>2850</x:v>
      </x:c>
      <x:c r="G19" s="21" t="n">
        <x:v>14</x:v>
      </x:c>
      <x:c r="H19" s="21" t="n">
        <x:f>IF($A19="","",SUMIFS(Purchases!$E$2:$E$501,Purchases!$C$2:$C$501,$A19))</x:f>
        <x:v>0</x:v>
      </x:c>
      <x:c r="I19" s="21" t="n">
        <x:f>IF($A19="","",SUMIFS(Sales!$D$2:$D$501,Sales!$C$2:$C$501,$A19,Sales!$J$2:$J$501,"Completed"))</x:f>
        <x:v>0</x:v>
      </x:c>
      <x:c r="J19" s="21" t="n">
        <x:f>IF($A19="","",$G19+$H19-$I19)</x:f>
        <x:v>14</x:v>
      </x:c>
      <x:c r="K19" s="21" t="n">
        <x:v>5</x:v>
      </x:c>
      <x:c r="L19" s="21" t="n">
        <x:f>IF($A19="","",MAX($K19-$J19,0))</x:f>
        <x:v>0</x:v>
      </x:c>
      <x:c r="M19" s="19" t="n">
        <x:f>IF($A19="","",$J19*$E19)</x:f>
        <x:v>25200</x:v>
      </x:c>
      <x:c r="N19" s="19" t="n">
        <x:f>IF($A19="","",$J19*$F19)</x:f>
        <x:v>39900</x:v>
      </x:c>
      <x:c r="O19" s="20" t="n">
        <x:f>IF($A19="","",IFERROR(($F19-$E19)/$F19,0))</x:f>
        <x:v>0.3684210526315789</x:v>
      </x:c>
      <x:c r="P19" s="18" t="str">
        <x:f>IF($A19="","",IF($J19&lt;=0,"Out of Stock",IF($J19&lt;=$K19,"Reorder","OK")))</x:f>
        <x:v>OK</x:v>
      </x:c>
    </x:row>
    <x:row r="20" ht="15" hidden="0" customHeight="1">
      <x:c r="A20" s="18"/>
      <x:c r="B20" s="18"/>
      <x:c r="C20" s="18"/>
      <x:c r="D20" s="18"/>
      <x:c r="E20" s="19"/>
      <x:c r="F20" s="19"/>
      <x:c r="G20" s="21"/>
      <x:c r="H20" s="21" t="str">
        <x:f>IF($A20="","",SUMIFS(Purchases!$E$2:$E$501,Purchases!$C$2:$C$501,$A20))</x:f>
      </x:c>
      <x:c r="I20" s="21" t="str">
        <x:f>IF($A20="","",SUMIFS(Sales!$D$2:$D$501,Sales!$C$2:$C$501,$A20,Sales!$J$2:$J$501,"Completed"))</x:f>
      </x:c>
      <x:c r="J20" s="21" t="str">
        <x:f>IF($A20="","",$G20+$H20-$I20)</x:f>
      </x:c>
      <x:c r="K20" s="21"/>
      <x:c r="L20" s="21" t="str">
        <x:f>IF($A20="","",MAX($K20-$J20,0))</x:f>
      </x:c>
      <x:c r="M20" s="19" t="str">
        <x:f>IF($A20="","",$J20*$E20)</x:f>
      </x:c>
      <x:c r="N20" s="19" t="str">
        <x:f>IF($A20="","",$J20*$F20)</x:f>
      </x:c>
      <x:c r="O20" s="20" t="str">
        <x:f>IF($A20="","",IFERROR(($F20-$E20)/$F20,0))</x:f>
      </x:c>
      <x:c r="P20" s="18" t="str">
        <x:f>IF($A20="","",IF($J20&lt;=0,"Out of Stock",IF($J20&lt;=$K20,"Reorder","OK")))</x:f>
      </x:c>
    </x:row>
    <x:row r="21" ht="15" hidden="0" customHeight="1">
      <x:c r="A21" s="18"/>
      <x:c r="B21" s="18"/>
      <x:c r="C21" s="18"/>
      <x:c r="D21" s="18"/>
      <x:c r="E21" s="19"/>
      <x:c r="F21" s="19"/>
      <x:c r="G21" s="21"/>
      <x:c r="H21" s="21" t="str">
        <x:f>IF($A21="","",SUMIFS(Purchases!$E$2:$E$501,Purchases!$C$2:$C$501,$A21))</x:f>
      </x:c>
      <x:c r="I21" s="21" t="str">
        <x:f>IF($A21="","",SUMIFS(Sales!$D$2:$D$501,Sales!$C$2:$C$501,$A21,Sales!$J$2:$J$501,"Completed"))</x:f>
      </x:c>
      <x:c r="J21" s="21" t="str">
        <x:f>IF($A21="","",$G21+$H21-$I21)</x:f>
      </x:c>
      <x:c r="K21" s="21"/>
      <x:c r="L21" s="21" t="str">
        <x:f>IF($A21="","",MAX($K21-$J21,0))</x:f>
      </x:c>
      <x:c r="M21" s="19" t="str">
        <x:f>IF($A21="","",$J21*$E21)</x:f>
      </x:c>
      <x:c r="N21" s="19" t="str">
        <x:f>IF($A21="","",$J21*$F21)</x:f>
      </x:c>
      <x:c r="O21" s="20" t="str">
        <x:f>IF($A21="","",IFERROR(($F21-$E21)/$F21,0))</x:f>
      </x:c>
      <x:c r="P21" s="18" t="str">
        <x:f>IF($A21="","",IF($J21&lt;=0,"Out of Stock",IF($J21&lt;=$K21,"Reorder","OK")))</x:f>
      </x:c>
    </x:row>
    <x:row r="22" ht="15" hidden="0" customHeight="1">
      <x:c r="A22" s="18"/>
      <x:c r="B22" s="18"/>
      <x:c r="C22" s="18"/>
      <x:c r="D22" s="18"/>
      <x:c r="E22" s="19"/>
      <x:c r="F22" s="19"/>
      <x:c r="G22" s="21"/>
      <x:c r="H22" s="21" t="str">
        <x:f>IF($A22="","",SUMIFS(Purchases!$E$2:$E$501,Purchases!$C$2:$C$501,$A22))</x:f>
      </x:c>
      <x:c r="I22" s="21" t="str">
        <x:f>IF($A22="","",SUMIFS(Sales!$D$2:$D$501,Sales!$C$2:$C$501,$A22,Sales!$J$2:$J$501,"Completed"))</x:f>
      </x:c>
      <x:c r="J22" s="21" t="str">
        <x:f>IF($A22="","",$G22+$H22-$I22)</x:f>
      </x:c>
      <x:c r="K22" s="21"/>
      <x:c r="L22" s="21" t="str">
        <x:f>IF($A22="","",MAX($K22-$J22,0))</x:f>
      </x:c>
      <x:c r="M22" s="19" t="str">
        <x:f>IF($A22="","",$J22*$E22)</x:f>
      </x:c>
      <x:c r="N22" s="19" t="str">
        <x:f>IF($A22="","",$J22*$F22)</x:f>
      </x:c>
      <x:c r="O22" s="20" t="str">
        <x:f>IF($A22="","",IFERROR(($F22-$E22)/$F22,0))</x:f>
      </x:c>
      <x:c r="P22" s="18" t="str">
        <x:f>IF($A22="","",IF($J22&lt;=0,"Out of Stock",IF($J22&lt;=$K22,"Reorder","OK")))</x:f>
      </x:c>
    </x:row>
    <x:row r="23" ht="15" hidden="0" customHeight="1">
      <x:c r="A23" s="18"/>
      <x:c r="B23" s="18"/>
      <x:c r="C23" s="18"/>
      <x:c r="D23" s="18"/>
      <x:c r="E23" s="19"/>
      <x:c r="F23" s="19"/>
      <x:c r="G23" s="21"/>
      <x:c r="H23" s="21" t="str">
        <x:f>IF($A23="","",SUMIFS(Purchases!$E$2:$E$501,Purchases!$C$2:$C$501,$A23))</x:f>
      </x:c>
      <x:c r="I23" s="21" t="str">
        <x:f>IF($A23="","",SUMIFS(Sales!$D$2:$D$501,Sales!$C$2:$C$501,$A23,Sales!$J$2:$J$501,"Completed"))</x:f>
      </x:c>
      <x:c r="J23" s="21" t="str">
        <x:f>IF($A23="","",$G23+$H23-$I23)</x:f>
      </x:c>
      <x:c r="K23" s="21"/>
      <x:c r="L23" s="21" t="str">
        <x:f>IF($A23="","",MAX($K23-$J23,0))</x:f>
      </x:c>
      <x:c r="M23" s="19" t="str">
        <x:f>IF($A23="","",$J23*$E23)</x:f>
      </x:c>
      <x:c r="N23" s="19" t="str">
        <x:f>IF($A23="","",$J23*$F23)</x:f>
      </x:c>
      <x:c r="O23" s="20" t="str">
        <x:f>IF($A23="","",IFERROR(($F23-$E23)/$F23,0))</x:f>
      </x:c>
      <x:c r="P23" s="18" t="str">
        <x:f>IF($A23="","",IF($J23&lt;=0,"Out of Stock",IF($J23&lt;=$K23,"Reorder","OK")))</x:f>
      </x:c>
    </x:row>
    <x:row r="24" ht="15" hidden="0" customHeight="1">
      <x:c r="A24" s="18"/>
      <x:c r="B24" s="18"/>
      <x:c r="C24" s="18"/>
      <x:c r="D24" s="18"/>
      <x:c r="E24" s="19"/>
      <x:c r="F24" s="19"/>
      <x:c r="G24" s="21"/>
      <x:c r="H24" s="21" t="str">
        <x:f>IF($A24="","",SUMIFS(Purchases!$E$2:$E$501,Purchases!$C$2:$C$501,$A24))</x:f>
      </x:c>
      <x:c r="I24" s="21" t="str">
        <x:f>IF($A24="","",SUMIFS(Sales!$D$2:$D$501,Sales!$C$2:$C$501,$A24,Sales!$J$2:$J$501,"Completed"))</x:f>
      </x:c>
      <x:c r="J24" s="21" t="str">
        <x:f>IF($A24="","",$G24+$H24-$I24)</x:f>
      </x:c>
      <x:c r="K24" s="21"/>
      <x:c r="L24" s="21" t="str">
        <x:f>IF($A24="","",MAX($K24-$J24,0))</x:f>
      </x:c>
      <x:c r="M24" s="19" t="str">
        <x:f>IF($A24="","",$J24*$E24)</x:f>
      </x:c>
      <x:c r="N24" s="19" t="str">
        <x:f>IF($A24="","",$J24*$F24)</x:f>
      </x:c>
      <x:c r="O24" s="20" t="str">
        <x:f>IF($A24="","",IFERROR(($F24-$E24)/$F24,0))</x:f>
      </x:c>
      <x:c r="P24" s="18" t="str">
        <x:f>IF($A24="","",IF($J24&lt;=0,"Out of Stock",IF($J24&lt;=$K24,"Reorder","OK")))</x:f>
      </x:c>
    </x:row>
    <x:row r="25" ht="15" hidden="0" customHeight="1">
      <x:c r="A25" s="18"/>
      <x:c r="B25" s="18"/>
      <x:c r="C25" s="18"/>
      <x:c r="D25" s="18"/>
      <x:c r="E25" s="19"/>
      <x:c r="F25" s="19"/>
      <x:c r="G25" s="21"/>
      <x:c r="H25" s="21" t="str">
        <x:f>IF($A25="","",SUMIFS(Purchases!$E$2:$E$501,Purchases!$C$2:$C$501,$A25))</x:f>
      </x:c>
      <x:c r="I25" s="21" t="str">
        <x:f>IF($A25="","",SUMIFS(Sales!$D$2:$D$501,Sales!$C$2:$C$501,$A25,Sales!$J$2:$J$501,"Completed"))</x:f>
      </x:c>
      <x:c r="J25" s="21" t="str">
        <x:f>IF($A25="","",$G25+$H25-$I25)</x:f>
      </x:c>
      <x:c r="K25" s="21"/>
      <x:c r="L25" s="21" t="str">
        <x:f>IF($A25="","",MAX($K25-$J25,0))</x:f>
      </x:c>
      <x:c r="M25" s="19" t="str">
        <x:f>IF($A25="","",$J25*$E25)</x:f>
      </x:c>
      <x:c r="N25" s="19" t="str">
        <x:f>IF($A25="","",$J25*$F25)</x:f>
      </x:c>
      <x:c r="O25" s="20" t="str">
        <x:f>IF($A25="","",IFERROR(($F25-$E25)/$F25,0))</x:f>
      </x:c>
      <x:c r="P25" s="18" t="str">
        <x:f>IF($A25="","",IF($J25&lt;=0,"Out of Stock",IF($J25&lt;=$K25,"Reorder","OK")))</x:f>
      </x:c>
    </x:row>
    <x:row r="26" ht="15" hidden="0" customHeight="1">
      <x:c r="A26" s="18"/>
      <x:c r="B26" s="18"/>
      <x:c r="C26" s="18"/>
      <x:c r="D26" s="18"/>
      <x:c r="E26" s="19"/>
      <x:c r="F26" s="19"/>
      <x:c r="G26" s="21"/>
      <x:c r="H26" s="21" t="str">
        <x:f>IF($A26="","",SUMIFS(Purchases!$E$2:$E$501,Purchases!$C$2:$C$501,$A26))</x:f>
      </x:c>
      <x:c r="I26" s="21" t="str">
        <x:f>IF($A26="","",SUMIFS(Sales!$D$2:$D$501,Sales!$C$2:$C$501,$A26,Sales!$J$2:$J$501,"Completed"))</x:f>
      </x:c>
      <x:c r="J26" s="21" t="str">
        <x:f>IF($A26="","",$G26+$H26-$I26)</x:f>
      </x:c>
      <x:c r="K26" s="21"/>
      <x:c r="L26" s="21" t="str">
        <x:f>IF($A26="","",MAX($K26-$J26,0))</x:f>
      </x:c>
      <x:c r="M26" s="19" t="str">
        <x:f>IF($A26="","",$J26*$E26)</x:f>
      </x:c>
      <x:c r="N26" s="19" t="str">
        <x:f>IF($A26="","",$J26*$F26)</x:f>
      </x:c>
      <x:c r="O26" s="20" t="str">
        <x:f>IF($A26="","",IFERROR(($F26-$E26)/$F26,0))</x:f>
      </x:c>
      <x:c r="P26" s="18" t="str">
        <x:f>IF($A26="","",IF($J26&lt;=0,"Out of Stock",IF($J26&lt;=$K26,"Reorder","OK")))</x:f>
      </x:c>
    </x:row>
    <x:row r="27" ht="15" hidden="0" customHeight="1">
      <x:c r="A27" s="18"/>
      <x:c r="B27" s="18"/>
      <x:c r="C27" s="18"/>
      <x:c r="D27" s="18"/>
      <x:c r="E27" s="19"/>
      <x:c r="F27" s="19"/>
      <x:c r="G27" s="21"/>
      <x:c r="H27" s="21" t="str">
        <x:f>IF($A27="","",SUMIFS(Purchases!$E$2:$E$501,Purchases!$C$2:$C$501,$A27))</x:f>
      </x:c>
      <x:c r="I27" s="21" t="str">
        <x:f>IF($A27="","",SUMIFS(Sales!$D$2:$D$501,Sales!$C$2:$C$501,$A27,Sales!$J$2:$J$501,"Completed"))</x:f>
      </x:c>
      <x:c r="J27" s="21" t="str">
        <x:f>IF($A27="","",$G27+$H27-$I27)</x:f>
      </x:c>
      <x:c r="K27" s="21"/>
      <x:c r="L27" s="21" t="str">
        <x:f>IF($A27="","",MAX($K27-$J27,0))</x:f>
      </x:c>
      <x:c r="M27" s="19" t="str">
        <x:f>IF($A27="","",$J27*$E27)</x:f>
      </x:c>
      <x:c r="N27" s="19" t="str">
        <x:f>IF($A27="","",$J27*$F27)</x:f>
      </x:c>
      <x:c r="O27" s="20" t="str">
        <x:f>IF($A27="","",IFERROR(($F27-$E27)/$F27,0))</x:f>
      </x:c>
      <x:c r="P27" s="18" t="str">
        <x:f>IF($A27="","",IF($J27&lt;=0,"Out of Stock",IF($J27&lt;=$K27,"Reorder","OK")))</x:f>
      </x:c>
    </x:row>
    <x:row r="28" ht="15" hidden="0" customHeight="1">
      <x:c r="A28" s="18"/>
      <x:c r="B28" s="18"/>
      <x:c r="C28" s="18"/>
      <x:c r="D28" s="18"/>
      <x:c r="E28" s="19"/>
      <x:c r="F28" s="19"/>
      <x:c r="G28" s="21"/>
      <x:c r="H28" s="21" t="str">
        <x:f>IF($A28="","",SUMIFS(Purchases!$E$2:$E$501,Purchases!$C$2:$C$501,$A28))</x:f>
      </x:c>
      <x:c r="I28" s="21" t="str">
        <x:f>IF($A28="","",SUMIFS(Sales!$D$2:$D$501,Sales!$C$2:$C$501,$A28,Sales!$J$2:$J$501,"Completed"))</x:f>
      </x:c>
      <x:c r="J28" s="21" t="str">
        <x:f>IF($A28="","",$G28+$H28-$I28)</x:f>
      </x:c>
      <x:c r="K28" s="21"/>
      <x:c r="L28" s="21" t="str">
        <x:f>IF($A28="","",MAX($K28-$J28,0))</x:f>
      </x:c>
      <x:c r="M28" s="19" t="str">
        <x:f>IF($A28="","",$J28*$E28)</x:f>
      </x:c>
      <x:c r="N28" s="19" t="str">
        <x:f>IF($A28="","",$J28*$F28)</x:f>
      </x:c>
      <x:c r="O28" s="20" t="str">
        <x:f>IF($A28="","",IFERROR(($F28-$E28)/$F28,0))</x:f>
      </x:c>
      <x:c r="P28" s="18" t="str">
        <x:f>IF($A28="","",IF($J28&lt;=0,"Out of Stock",IF($J28&lt;=$K28,"Reorder","OK")))</x:f>
      </x:c>
    </x:row>
    <x:row r="29" ht="15" hidden="0" customHeight="1">
      <x:c r="A29" s="18"/>
      <x:c r="B29" s="18"/>
      <x:c r="C29" s="18"/>
      <x:c r="D29" s="18"/>
      <x:c r="E29" s="19"/>
      <x:c r="F29" s="19"/>
      <x:c r="G29" s="21"/>
      <x:c r="H29" s="21" t="str">
        <x:f>IF($A29="","",SUMIFS(Purchases!$E$2:$E$501,Purchases!$C$2:$C$501,$A29))</x:f>
      </x:c>
      <x:c r="I29" s="21" t="str">
        <x:f>IF($A29="","",SUMIFS(Sales!$D$2:$D$501,Sales!$C$2:$C$501,$A29,Sales!$J$2:$J$501,"Completed"))</x:f>
      </x:c>
      <x:c r="J29" s="21" t="str">
        <x:f>IF($A29="","",$G29+$H29-$I29)</x:f>
      </x:c>
      <x:c r="K29" s="21"/>
      <x:c r="L29" s="21" t="str">
        <x:f>IF($A29="","",MAX($K29-$J29,0))</x:f>
      </x:c>
      <x:c r="M29" s="19" t="str">
        <x:f>IF($A29="","",$J29*$E29)</x:f>
      </x:c>
      <x:c r="N29" s="19" t="str">
        <x:f>IF($A29="","",$J29*$F29)</x:f>
      </x:c>
      <x:c r="O29" s="20" t="str">
        <x:f>IF($A29="","",IFERROR(($F29-$E29)/$F29,0))</x:f>
      </x:c>
      <x:c r="P29" s="18" t="str">
        <x:f>IF($A29="","",IF($J29&lt;=0,"Out of Stock",IF($J29&lt;=$K29,"Reorder","OK")))</x:f>
      </x:c>
    </x:row>
    <x:row r="30" ht="15" hidden="0" customHeight="1">
      <x:c r="A30" s="18"/>
      <x:c r="B30" s="18"/>
      <x:c r="C30" s="18"/>
      <x:c r="D30" s="18"/>
      <x:c r="E30" s="19"/>
      <x:c r="F30" s="19"/>
      <x:c r="G30" s="21"/>
      <x:c r="H30" s="21" t="str">
        <x:f>IF($A30="","",SUMIFS(Purchases!$E$2:$E$501,Purchases!$C$2:$C$501,$A30))</x:f>
      </x:c>
      <x:c r="I30" s="21" t="str">
        <x:f>IF($A30="","",SUMIFS(Sales!$D$2:$D$501,Sales!$C$2:$C$501,$A30,Sales!$J$2:$J$501,"Completed"))</x:f>
      </x:c>
      <x:c r="J30" s="21" t="str">
        <x:f>IF($A30="","",$G30+$H30-$I30)</x:f>
      </x:c>
      <x:c r="K30" s="21"/>
      <x:c r="L30" s="21" t="str">
        <x:f>IF($A30="","",MAX($K30-$J30,0))</x:f>
      </x:c>
      <x:c r="M30" s="19" t="str">
        <x:f>IF($A30="","",$J30*$E30)</x:f>
      </x:c>
      <x:c r="N30" s="19" t="str">
        <x:f>IF($A30="","",$J30*$F30)</x:f>
      </x:c>
      <x:c r="O30" s="20" t="str">
        <x:f>IF($A30="","",IFERROR(($F30-$E30)/$F30,0))</x:f>
      </x:c>
      <x:c r="P30" s="18" t="str">
        <x:f>IF($A30="","",IF($J30&lt;=0,"Out of Stock",IF($J30&lt;=$K30,"Reorder","OK")))</x:f>
      </x:c>
    </x:row>
    <x:row r="31" ht="15" hidden="0" customHeight="1">
      <x:c r="A31" s="18"/>
      <x:c r="B31" s="18"/>
      <x:c r="C31" s="18"/>
      <x:c r="D31" s="18"/>
      <x:c r="E31" s="19"/>
      <x:c r="F31" s="19"/>
      <x:c r="G31" s="21"/>
      <x:c r="H31" s="21" t="str">
        <x:f>IF($A31="","",SUMIFS(Purchases!$E$2:$E$501,Purchases!$C$2:$C$501,$A31))</x:f>
      </x:c>
      <x:c r="I31" s="21" t="str">
        <x:f>IF($A31="","",SUMIFS(Sales!$D$2:$D$501,Sales!$C$2:$C$501,$A31,Sales!$J$2:$J$501,"Completed"))</x:f>
      </x:c>
      <x:c r="J31" s="21" t="str">
        <x:f>IF($A31="","",$G31+$H31-$I31)</x:f>
      </x:c>
      <x:c r="K31" s="21"/>
      <x:c r="L31" s="21" t="str">
        <x:f>IF($A31="","",MAX($K31-$J31,0))</x:f>
      </x:c>
      <x:c r="M31" s="19" t="str">
        <x:f>IF($A31="","",$J31*$E31)</x:f>
      </x:c>
      <x:c r="N31" s="19" t="str">
        <x:f>IF($A31="","",$J31*$F31)</x:f>
      </x:c>
      <x:c r="O31" s="20" t="str">
        <x:f>IF($A31="","",IFERROR(($F31-$E31)/$F31,0))</x:f>
      </x:c>
      <x:c r="P31" s="18" t="str">
        <x:f>IF($A31="","",IF($J31&lt;=0,"Out of Stock",IF($J31&lt;=$K31,"Reorder","OK")))</x:f>
      </x:c>
    </x:row>
    <x:row r="32" ht="15" hidden="0" customHeight="1">
      <x:c r="A32" s="18"/>
      <x:c r="B32" s="18"/>
      <x:c r="C32" s="18"/>
      <x:c r="D32" s="18"/>
      <x:c r="E32" s="19"/>
      <x:c r="F32" s="19"/>
      <x:c r="G32" s="21"/>
      <x:c r="H32" s="21" t="str">
        <x:f>IF($A32="","",SUMIFS(Purchases!$E$2:$E$501,Purchases!$C$2:$C$501,$A32))</x:f>
      </x:c>
      <x:c r="I32" s="21" t="str">
        <x:f>IF($A32="","",SUMIFS(Sales!$D$2:$D$501,Sales!$C$2:$C$501,$A32,Sales!$J$2:$J$501,"Completed"))</x:f>
      </x:c>
      <x:c r="J32" s="21" t="str">
        <x:f>IF($A32="","",$G32+$H32-$I32)</x:f>
      </x:c>
      <x:c r="K32" s="21"/>
      <x:c r="L32" s="21" t="str">
        <x:f>IF($A32="","",MAX($K32-$J32,0))</x:f>
      </x:c>
      <x:c r="M32" s="19" t="str">
        <x:f>IF($A32="","",$J32*$E32)</x:f>
      </x:c>
      <x:c r="N32" s="19" t="str">
        <x:f>IF($A32="","",$J32*$F32)</x:f>
      </x:c>
      <x:c r="O32" s="20" t="str">
        <x:f>IF($A32="","",IFERROR(($F32-$E32)/$F32,0))</x:f>
      </x:c>
      <x:c r="P32" s="18" t="str">
        <x:f>IF($A32="","",IF($J32&lt;=0,"Out of Stock",IF($J32&lt;=$K32,"Reorder","OK")))</x:f>
      </x:c>
    </x:row>
    <x:row r="33" ht="15" hidden="0" customHeight="1">
      <x:c r="A33" s="18"/>
      <x:c r="B33" s="18"/>
      <x:c r="C33" s="18"/>
      <x:c r="D33" s="18"/>
      <x:c r="E33" s="19"/>
      <x:c r="F33" s="19"/>
      <x:c r="G33" s="21"/>
      <x:c r="H33" s="21" t="str">
        <x:f>IF($A33="","",SUMIFS(Purchases!$E$2:$E$501,Purchases!$C$2:$C$501,$A33))</x:f>
      </x:c>
      <x:c r="I33" s="21" t="str">
        <x:f>IF($A33="","",SUMIFS(Sales!$D$2:$D$501,Sales!$C$2:$C$501,$A33,Sales!$J$2:$J$501,"Completed"))</x:f>
      </x:c>
      <x:c r="J33" s="21" t="str">
        <x:f>IF($A33="","",$G33+$H33-$I33)</x:f>
      </x:c>
      <x:c r="K33" s="21"/>
      <x:c r="L33" s="21" t="str">
        <x:f>IF($A33="","",MAX($K33-$J33,0))</x:f>
      </x:c>
      <x:c r="M33" s="19" t="str">
        <x:f>IF($A33="","",$J33*$E33)</x:f>
      </x:c>
      <x:c r="N33" s="19" t="str">
        <x:f>IF($A33="","",$J33*$F33)</x:f>
      </x:c>
      <x:c r="O33" s="20" t="str">
        <x:f>IF($A33="","",IFERROR(($F33-$E33)/$F33,0))</x:f>
      </x:c>
      <x:c r="P33" s="18" t="str">
        <x:f>IF($A33="","",IF($J33&lt;=0,"Out of Stock",IF($J33&lt;=$K33,"Reorder","OK")))</x:f>
      </x:c>
    </x:row>
    <x:row r="34" ht="15" hidden="0" customHeight="1">
      <x:c r="A34" s="18"/>
      <x:c r="B34" s="18"/>
      <x:c r="C34" s="18"/>
      <x:c r="D34" s="18"/>
      <x:c r="E34" s="19"/>
      <x:c r="F34" s="19"/>
      <x:c r="G34" s="21"/>
      <x:c r="H34" s="21" t="str">
        <x:f>IF($A34="","",SUMIFS(Purchases!$E$2:$E$501,Purchases!$C$2:$C$501,$A34))</x:f>
      </x:c>
      <x:c r="I34" s="21" t="str">
        <x:f>IF($A34="","",SUMIFS(Sales!$D$2:$D$501,Sales!$C$2:$C$501,$A34,Sales!$J$2:$J$501,"Completed"))</x:f>
      </x:c>
      <x:c r="J34" s="21" t="str">
        <x:f>IF($A34="","",$G34+$H34-$I34)</x:f>
      </x:c>
      <x:c r="K34" s="21"/>
      <x:c r="L34" s="21" t="str">
        <x:f>IF($A34="","",MAX($K34-$J34,0))</x:f>
      </x:c>
      <x:c r="M34" s="19" t="str">
        <x:f>IF($A34="","",$J34*$E34)</x:f>
      </x:c>
      <x:c r="N34" s="19" t="str">
        <x:f>IF($A34="","",$J34*$F34)</x:f>
      </x:c>
      <x:c r="O34" s="20" t="str">
        <x:f>IF($A34="","",IFERROR(($F34-$E34)/$F34,0))</x:f>
      </x:c>
      <x:c r="P34" s="18" t="str">
        <x:f>IF($A34="","",IF($J34&lt;=0,"Out of Stock",IF($J34&lt;=$K34,"Reorder","OK")))</x:f>
      </x:c>
    </x:row>
  </x:sheetData>
  <x:conditionalFormatting sqref="P5:P34">
    <x:cfRule type="containsText" dxfId="0" priority="1" operator="containsText" text="Reorder"/>
    <x:cfRule type="containsText" dxfId="1" priority="2" operator="containsText" text="Out of St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10.5600004196167" hidden="0" customWidth="1"/>
    <x:col min="4" max="4" width="8.890000343322754" hidden="0" customWidth="1"/>
    <x:col min="5" max="5" width="20" hidden="0" customWidth="1"/>
    <x:col min="6" max="6" width="15" hidden="0" customWidth="1"/>
    <x:col min="7" max="7" width="13.329999923706055" hidden="0" customWidth="1"/>
    <x:col min="8" max="8" width="10.5600004196167" hidden="0" customWidth="1"/>
    <x:col min="9" max="9" width="12.220000267028809" hidden="0" customWidth="1"/>
    <x:col min="10" max="10" width="11.670000076293945" hidden="0" customWidth="1"/>
    <x:col min="11" max="11" width="12.220000267028809" hidden="0" customWidth="1"/>
    <x:col min="12" max="12" width="13.329999923706055" hidden="0" customWidth="1"/>
    <x:col min="13" max="13" width="23.329999923706055" hidden="0" customWidth="1"/>
  </x:cols>
  <x:sheetData>
    <x:row r="1" ht="21.600000381469727" hidden="0" customHeight="1">
      <x:c r="A1" s="4" t="str">
        <x:v>Sales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8" t="str">
        <x:v>Enter Date, Invoice No., SKU, Quantity, Status, Payment Method, and Notes. Product, price, subtotal, cost, and profit/loss are linked.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/>
    <x:row r="4" ht="26.399999618530273" hidden="0" customHeight="1">
      <x:c r="A4" s="14" t="str">
        <x:v>Date</x:v>
      </x:c>
      <x:c r="B4" s="14" t="str">
        <x:v>Invoice No.</x:v>
      </x:c>
      <x:c r="C4" s="14" t="str">
        <x:v>SKU</x:v>
      </x:c>
      <x:c r="D4" s="14" t="str">
        <x:v>Qty Sold</x:v>
      </x:c>
      <x:c r="E4" s="14" t="str">
        <x:v>Product</x:v>
      </x:c>
      <x:c r="F4" s="14" t="str">
        <x:v>Category</x:v>
      </x:c>
      <x:c r="G4" s="14" t="str">
        <x:v>Unit Selling Price</x:v>
      </x:c>
      <x:c r="H4" s="14" t="str">
        <x:v>Unit Cost</x:v>
      </x:c>
      <x:c r="I4" s="14" t="str">
        <x:v>Subtotal</x:v>
      </x:c>
      <x:c r="J4" s="14" t="str">
        <x:v>Status</x:v>
      </x:c>
      <x:c r="K4" s="14" t="str">
        <x:v>Profit/Loss</x:v>
      </x:c>
      <x:c r="L4" s="14" t="str">
        <x:v>Payment Method</x:v>
      </x:c>
      <x:c r="M4" s="14" t="str">
        <x:v>Notes</x:v>
      </x:c>
    </x:row>
    <x:row r="5" ht="15" hidden="0" customHeight="1">
      <x:c r="A5" s="22" t="n">
        <x:v>46143</x:v>
      </x:c>
      <x:c r="B5" s="18" t="str">
        <x:v>INV-1001</x:v>
      </x:c>
      <x:c r="C5" s="18" t="str">
        <x:v>SKU-001</x:v>
      </x:c>
      <x:c r="D5" s="18" t="n">
        <x:v>3</x:v>
      </x:c>
      <x:c r="E5" s="18" t="str">
        <x:f>IF($C5="","",XLOOKUP($C5,Products!$A$5:$A$34,Products!$B$5:$B$34,""))</x:f>
        <x:v>Wireless Mouse</x:v>
      </x:c>
      <x:c r="F5" s="18" t="str">
        <x:f>IF($C5="","",XLOOKUP($C5,Products!$A$5:$A$34,Products!$C$5:$C$34,""))</x:f>
        <x:v>Mouse</x:v>
      </x:c>
      <x:c r="G5" s="19" t="n">
        <x:f>IF($C5="","",XLOOKUP($C5,Products!$A$5:$A$34,Products!$F$5:$F$34,""))</x:f>
        <x:v>1450</x:v>
      </x:c>
      <x:c r="H5" s="19" t="n">
        <x:f>IF($C5="","",XLOOKUP($C5,Products!$A$5:$A$34,Products!$E$5:$E$34,""))</x:f>
        <x:v>950</x:v>
      </x:c>
      <x:c r="I5" s="19" t="n">
        <x:f>IF(OR($C5="",$D5=""),"",($D5*$G5))</x:f>
        <x:v>4350</x:v>
      </x:c>
      <x:c r="J5" s="18" t="str">
        <x:v>Completed</x:v>
      </x:c>
      <x:c r="K5" s="19" t="n">
        <x:f>IF(OR($C5="",$D5=""),"",$I5-($D5*$H5))</x:f>
        <x:v>1500</x:v>
      </x:c>
      <x:c r="L5" s="18" t="str">
        <x:v>Cash</x:v>
      </x:c>
      <x:c r="M5" s="18" t="str">
        <x:v>Walk-in customer</x:v>
      </x:c>
    </x:row>
    <x:row r="6" ht="15" hidden="0" customHeight="1">
      <x:c r="A6" s="22" t="n">
        <x:v>46144</x:v>
      </x:c>
      <x:c r="B6" s="18" t="str">
        <x:v>INV-1002</x:v>
      </x:c>
      <x:c r="C6" s="18" t="str">
        <x:v>SKU-003</x:v>
      </x:c>
      <x:c r="D6" s="18" t="n">
        <x:v>2</x:v>
      </x:c>
      <x:c r="E6" s="18" t="str">
        <x:f>IF($C6="","",XLOOKUP($C6,Products!$A$5:$A$34,Products!$B$5:$B$34,""))</x:f>
        <x:v>USB Keyboard</x:v>
      </x:c>
      <x:c r="F6" s="18" t="str">
        <x:f>IF($C6="","",XLOOKUP($C6,Products!$A$5:$A$34,Products!$C$5:$C$34,""))</x:f>
        <x:v>Keyboard</x:v>
      </x:c>
      <x:c r="G6" s="19" t="n">
        <x:f>IF($C6="","",XLOOKUP($C6,Products!$A$5:$A$34,Products!$F$5:$F$34,""))</x:f>
        <x:v>2200</x:v>
      </x:c>
      <x:c r="H6" s="19" t="n">
        <x:f>IF($C6="","",XLOOKUP($C6,Products!$A$5:$A$34,Products!$E$5:$E$34,""))</x:f>
        <x:v>1450</x:v>
      </x:c>
      <x:c r="I6" s="19" t="n">
        <x:f>IF(OR($C6="",$D6=""),"",($D6*$G6))</x:f>
        <x:v>4400</x:v>
      </x:c>
      <x:c r="J6" s="18" t="str">
        <x:v>Completed</x:v>
      </x:c>
      <x:c r="K6" s="19" t="n">
        <x:f>IF(OR($C6="",$D6=""),"",$I6-($D6*$H6))</x:f>
        <x:v>1500</x:v>
      </x:c>
      <x:c r="L6" s="18" t="str">
        <x:v>Card</x:v>
      </x:c>
      <x:c r="M6" s="18" t="str"/>
    </x:row>
    <x:row r="7" ht="15" hidden="0" customHeight="1">
      <x:c r="A7" s="22" t="n">
        <x:v>46145</x:v>
      </x:c>
      <x:c r="B7" s="18" t="str">
        <x:v>INV-1003</x:v>
      </x:c>
      <x:c r="C7" s="18" t="str">
        <x:v>SKU-005</x:v>
      </x:c>
      <x:c r="D7" s="18" t="n">
        <x:v>8</x:v>
      </x:c>
      <x:c r="E7" s="18" t="str">
        <x:f>IF($C7="","",XLOOKUP($C7,Products!$A$5:$A$34,Products!$B$5:$B$34,""))</x:f>
        <x:v>HDMI Cable 2m</x:v>
      </x:c>
      <x:c r="F7" s="18" t="str">
        <x:f>IF($C7="","",XLOOKUP($C7,Products!$A$5:$A$34,Products!$C$5:$C$34,""))</x:f>
        <x:v>Cable</x:v>
      </x:c>
      <x:c r="G7" s="19" t="n">
        <x:f>IF($C7="","",XLOOKUP($C7,Products!$A$5:$A$34,Products!$F$5:$F$34,""))</x:f>
        <x:v>650</x:v>
      </x:c>
      <x:c r="H7" s="19" t="n">
        <x:f>IF($C7="","",XLOOKUP($C7,Products!$A$5:$A$34,Products!$E$5:$E$34,""))</x:f>
        <x:v>320</x:v>
      </x:c>
      <x:c r="I7" s="19" t="n">
        <x:f>IF(OR($C7="",$D7=""),"",($D7*$G7))</x:f>
        <x:v>5200</x:v>
      </x:c>
      <x:c r="J7" s="18" t="str">
        <x:v>Completed</x:v>
      </x:c>
      <x:c r="K7" s="19" t="n">
        <x:f>IF(OR($C7="",$D7=""),"",$I7-($D7*$H7))</x:f>
        <x:v>2640</x:v>
      </x:c>
      <x:c r="L7" s="18" t="str">
        <x:v>Cash</x:v>
      </x:c>
      <x:c r="M7" s="18" t="str">
        <x:v>Bulk cable sale</x:v>
      </x:c>
    </x:row>
    <x:row r="8" ht="15" hidden="0" customHeight="1">
      <x:c r="A8" s="22" t="n">
        <x:v>46146</x:v>
      </x:c>
      <x:c r="B8" s="18" t="str">
        <x:v>INV-1004</x:v>
      </x:c>
      <x:c r="C8" s="18" t="str">
        <x:v>SKU-009</x:v>
      </x:c>
      <x:c r="D8" s="18" t="n">
        <x:v>1</x:v>
      </x:c>
      <x:c r="E8" s="18" t="str">
        <x:f>IF($C8="","",XLOOKUP($C8,Products!$A$5:$A$34,Products!$B$5:$B$34,""))</x:f>
        <x:v>Bluetooth Headset</x:v>
      </x:c>
      <x:c r="F8" s="18" t="str">
        <x:f>IF($C8="","",XLOOKUP($C8,Products!$A$5:$A$34,Products!$C$5:$C$34,""))</x:f>
        <x:v>Headset</x:v>
      </x:c>
      <x:c r="G8" s="19" t="n">
        <x:f>IF($C8="","",XLOOKUP($C8,Products!$A$5:$A$34,Products!$F$5:$F$34,""))</x:f>
        <x:v>3950</x:v>
      </x:c>
      <x:c r="H8" s="19" t="n">
        <x:f>IF($C8="","",XLOOKUP($C8,Products!$A$5:$A$34,Products!$E$5:$E$34,""))</x:f>
        <x:v>2500</x:v>
      </x:c>
      <x:c r="I8" s="19" t="n">
        <x:f>IF(OR($C8="",$D8=""),"",($D8*$G8))</x:f>
        <x:v>3950</x:v>
      </x:c>
      <x:c r="J8" s="18" t="str">
        <x:v>Completed</x:v>
      </x:c>
      <x:c r="K8" s="19" t="n">
        <x:f>IF(OR($C8="",$D8=""),"",$I8-($D8*$H8))</x:f>
        <x:v>1450</x:v>
      </x:c>
      <x:c r="L8" s="18" t="str">
        <x:v>Bank Transfer</x:v>
      </x:c>
      <x:c r="M8" s="18" t="str"/>
    </x:row>
    <x:row r="9" ht="15" hidden="0" customHeight="1">
      <x:c r="A9" s="22" t="n">
        <x:v>46147</x:v>
      </x:c>
      <x:c r="B9" s="18" t="str">
        <x:v>INV-1005</x:v>
      </x:c>
      <x:c r="C9" s="18" t="str">
        <x:v>SKU-011</x:v>
      </x:c>
      <x:c r="D9" s="18" t="n">
        <x:v>5</x:v>
      </x:c>
      <x:c r="E9" s="18" t="str">
        <x:f>IF($C9="","",XLOOKUP($C9,Products!$A$5:$A$34,Products!$B$5:$B$34,""))</x:f>
        <x:v>USB Flash Drive 64GB</x:v>
      </x:c>
      <x:c r="F9" s="18" t="str">
        <x:f>IF($C9="","",XLOOKUP($C9,Products!$A$5:$A$34,Products!$C$5:$C$34,""))</x:f>
        <x:v>Storage</x:v>
      </x:c>
      <x:c r="G9" s="19" t="n">
        <x:f>IF($C9="","",XLOOKUP($C9,Products!$A$5:$A$34,Products!$F$5:$F$34,""))</x:f>
        <x:v>1650</x:v>
      </x:c>
      <x:c r="H9" s="19" t="n">
        <x:f>IF($C9="","",XLOOKUP($C9,Products!$A$5:$A$34,Products!$E$5:$E$34,""))</x:f>
        <x:v>1050</x:v>
      </x:c>
      <x:c r="I9" s="19" t="n">
        <x:f>IF(OR($C9="",$D9=""),"",($D9*$G9))</x:f>
        <x:v>8250</x:v>
      </x:c>
      <x:c r="J9" s="18" t="str">
        <x:v>Completed</x:v>
      </x:c>
      <x:c r="K9" s="19" t="n">
        <x:f>IF(OR($C9="",$D9=""),"",$I9-($D9*$H9))</x:f>
        <x:v>3000</x:v>
      </x:c>
      <x:c r="L9" s="18" t="str">
        <x:v>Cash</x:v>
      </x:c>
      <x:c r="M9" s="18" t="str"/>
    </x:row>
    <x:row r="10" ht="15" hidden="0" customHeight="1">
      <x:c r="A10" s="22" t="n">
        <x:v>46148</x:v>
      </x:c>
      <x:c r="B10" s="18" t="str">
        <x:v>INV-1006</x:v>
      </x:c>
      <x:c r="C10" s="18" t="str">
        <x:v>SKU-004</x:v>
      </x:c>
      <x:c r="D10" s="18" t="n">
        <x:v>1</x:v>
      </x:c>
      <x:c r="E10" s="18" t="str">
        <x:f>IF($C10="","",XLOOKUP($C10,Products!$A$5:$A$34,Products!$B$5:$B$34,""))</x:f>
        <x:v>Mechanical Keyboard</x:v>
      </x:c>
      <x:c r="F10" s="18" t="str">
        <x:f>IF($C10="","",XLOOKUP($C10,Products!$A$5:$A$34,Products!$C$5:$C$34,""))</x:f>
        <x:v>Keyboard</x:v>
      </x:c>
      <x:c r="G10" s="19" t="n">
        <x:f>IF($C10="","",XLOOKUP($C10,Products!$A$5:$A$34,Products!$F$5:$F$34,""))</x:f>
        <x:v>7800</x:v>
      </x:c>
      <x:c r="H10" s="19" t="n">
        <x:f>IF($C10="","",XLOOKUP($C10,Products!$A$5:$A$34,Products!$E$5:$E$34,""))</x:f>
        <x:v>5200</x:v>
      </x:c>
      <x:c r="I10" s="19" t="n">
        <x:f>IF(OR($C10="",$D10=""),"",($D10*$G10))</x:f>
        <x:v>7800</x:v>
      </x:c>
      <x:c r="J10" s="18" t="str">
        <x:v>Completed</x:v>
      </x:c>
      <x:c r="K10" s="19" t="n">
        <x:f>IF(OR($C10="",$D10=""),"",$I10-($D10*$H10))</x:f>
        <x:v>2600</x:v>
      </x:c>
      <x:c r="L10" s="18" t="str">
        <x:v>Card</x:v>
      </x:c>
      <x:c r="M10" s="18" t="str"/>
    </x:row>
    <x:row r="11" ht="15" hidden="0" customHeight="1">
      <x:c r="A11" s="22" t="n">
        <x:v>46149</x:v>
      </x:c>
      <x:c r="B11" s="18" t="str">
        <x:v>INV-1007</x:v>
      </x:c>
      <x:c r="C11" s="18" t="str">
        <x:v>SKU-007</x:v>
      </x:c>
      <x:c r="D11" s="18" t="n">
        <x:v>2</x:v>
      </x:c>
      <x:c r="E11" s="18" t="str">
        <x:f>IF($C11="","",XLOOKUP($C11,Products!$A$5:$A$34,Products!$B$5:$B$34,""))</x:f>
        <x:v>Laptop Charger 65W</x:v>
      </x:c>
      <x:c r="F11" s="18" t="str">
        <x:f>IF($C11="","",XLOOKUP($C11,Products!$A$5:$A$34,Products!$C$5:$C$34,""))</x:f>
        <x:v>Charger</x:v>
      </x:c>
      <x:c r="G11" s="19" t="n">
        <x:f>IF($C11="","",XLOOKUP($C11,Products!$A$5:$A$34,Products!$F$5:$F$34,""))</x:f>
        <x:v>3350</x:v>
      </x:c>
      <x:c r="H11" s="19" t="n">
        <x:f>IF($C11="","",XLOOKUP($C11,Products!$A$5:$A$34,Products!$E$5:$E$34,""))</x:f>
        <x:v>2100</x:v>
      </x:c>
      <x:c r="I11" s="19" t="n">
        <x:f>IF(OR($C11="",$D11=""),"",($D11*$G11))</x:f>
        <x:v>6700</x:v>
      </x:c>
      <x:c r="J11" s="18" t="str">
        <x:v>Completed</x:v>
      </x:c>
      <x:c r="K11" s="19" t="n">
        <x:f>IF(OR($C11="",$D11=""),"",$I11-($D11*$H11))</x:f>
        <x:v>2500</x:v>
      </x:c>
      <x:c r="L11" s="18" t="str">
        <x:v>Cash</x:v>
      </x:c>
      <x:c r="M11" s="18" t="str"/>
    </x:row>
    <x:row r="12" ht="15" hidden="0" customHeight="1">
      <x:c r="A12" s="22" t="n">
        <x:v>46150</x:v>
      </x:c>
      <x:c r="B12" s="18" t="str">
        <x:v>INV-1008</x:v>
      </x:c>
      <x:c r="C12" s="18" t="str">
        <x:v>SKU-014</x:v>
      </x:c>
      <x:c r="D12" s="18" t="n">
        <x:v>10</x:v>
      </x:c>
      <x:c r="E12" s="18" t="str">
        <x:f>IF($C12="","",XLOOKUP($C12,Products!$A$5:$A$34,Products!$B$5:$B$34,""))</x:f>
        <x:v>Mouse Pad</x:v>
      </x:c>
      <x:c r="F12" s="18" t="str">
        <x:f>IF($C12="","",XLOOKUP($C12,Products!$A$5:$A$34,Products!$C$5:$C$34,""))</x:f>
        <x:v>Mouse</x:v>
      </x:c>
      <x:c r="G12" s="19" t="n">
        <x:f>IF($C12="","",XLOOKUP($C12,Products!$A$5:$A$34,Products!$F$5:$F$34,""))</x:f>
        <x:v>350</x:v>
      </x:c>
      <x:c r="H12" s="19" t="n">
        <x:f>IF($C12="","",XLOOKUP($C12,Products!$A$5:$A$34,Products!$E$5:$E$34,""))</x:f>
        <x:v>180</x:v>
      </x:c>
      <x:c r="I12" s="19" t="n">
        <x:f>IF(OR($C12="",$D12=""),"",($D12*$G12))</x:f>
        <x:v>3500</x:v>
      </x:c>
      <x:c r="J12" s="18" t="str">
        <x:v>Completed</x:v>
      </x:c>
      <x:c r="K12" s="19" t="n">
        <x:f>IF(OR($C12="",$D12=""),"",$I12-($D12*$H12))</x:f>
        <x:v>1700</x:v>
      </x:c>
      <x:c r="L12" s="18" t="str">
        <x:v>Cash</x:v>
      </x:c>
      <x:c r="M12" s="18" t="str"/>
    </x:row>
    <x:row r="13" ht="15" hidden="0" customHeight="1">
      <x:c r="A13" s="22"/>
      <x:c r="B13" s="18"/>
      <x:c r="C13" s="18"/>
      <x:c r="D13" s="18"/>
      <x:c r="E13" s="18" t="str">
        <x:f>IF($C13="","",XLOOKUP($C13,Products!$A$5:$A$34,Products!$B$5:$B$34,""))</x:f>
      </x:c>
      <x:c r="F13" s="18" t="str">
        <x:f>IF($C13="","",XLOOKUP($C13,Products!$A$5:$A$34,Products!$C$5:$C$34,""))</x:f>
      </x:c>
      <x:c r="G13" s="19" t="str">
        <x:f>IF($C13="","",XLOOKUP($C13,Products!$A$5:$A$34,Products!$F$5:$F$34,""))</x:f>
      </x:c>
      <x:c r="H13" s="19" t="str">
        <x:f>IF($C13="","",XLOOKUP($C13,Products!$A$5:$A$34,Products!$E$5:$E$34,""))</x:f>
      </x:c>
      <x:c r="I13" s="19" t="str">
        <x:f>IF(OR($C13="",$D13=""),"",($D13*$G13))</x:f>
      </x:c>
      <x:c r="J13" s="18"/>
      <x:c r="K13" s="19" t="str">
        <x:f>IF(OR($C13="",$D13=""),"",$I13-($D13*$H13))</x:f>
      </x:c>
      <x:c r="L13" s="18"/>
      <x:c r="M13" s="18"/>
    </x:row>
    <x:row r="14" ht="15" hidden="0" customHeight="1">
      <x:c r="A14" s="22"/>
      <x:c r="B14" s="18"/>
      <x:c r="C14" s="18"/>
      <x:c r="D14" s="18"/>
      <x:c r="E14" s="18" t="str">
        <x:f>IF($C14="","",XLOOKUP($C14,Products!$A$5:$A$34,Products!$B$5:$B$34,""))</x:f>
      </x:c>
      <x:c r="F14" s="18" t="str">
        <x:f>IF($C14="","",XLOOKUP($C14,Products!$A$5:$A$34,Products!$C$5:$C$34,""))</x:f>
      </x:c>
      <x:c r="G14" s="19" t="str">
        <x:f>IF($C14="","",XLOOKUP($C14,Products!$A$5:$A$34,Products!$F$5:$F$34,""))</x:f>
      </x:c>
      <x:c r="H14" s="19" t="str">
        <x:f>IF($C14="","",XLOOKUP($C14,Products!$A$5:$A$34,Products!$E$5:$E$34,""))</x:f>
      </x:c>
      <x:c r="I14" s="19" t="str">
        <x:f>IF(OR($C14="",$D14=""),"",($D14*$G14))</x:f>
      </x:c>
      <x:c r="J14" s="18"/>
      <x:c r="K14" s="19" t="str">
        <x:f>IF(OR($C14="",$D14=""),"",$I14-($D14*$H14))</x:f>
      </x:c>
      <x:c r="L14" s="18"/>
      <x:c r="M14" s="18"/>
    </x:row>
    <x:row r="15" ht="15" hidden="0" customHeight="1">
      <x:c r="A15" s="22"/>
      <x:c r="B15" s="18"/>
      <x:c r="C15" s="18"/>
      <x:c r="D15" s="18"/>
      <x:c r="E15" s="18" t="str">
        <x:f>IF($C15="","",XLOOKUP($C15,Products!$A$5:$A$34,Products!$B$5:$B$34,""))</x:f>
      </x:c>
      <x:c r="F15" s="18" t="str">
        <x:f>IF($C15="","",XLOOKUP($C15,Products!$A$5:$A$34,Products!$C$5:$C$34,""))</x:f>
      </x:c>
      <x:c r="G15" s="19" t="str">
        <x:f>IF($C15="","",XLOOKUP($C15,Products!$A$5:$A$34,Products!$F$5:$F$34,""))</x:f>
      </x:c>
      <x:c r="H15" s="19" t="str">
        <x:f>IF($C15="","",XLOOKUP($C15,Products!$A$5:$A$34,Products!$E$5:$E$34,""))</x:f>
      </x:c>
      <x:c r="I15" s="19" t="str">
        <x:f>IF(OR($C15="",$D15=""),"",($D15*$G15))</x:f>
      </x:c>
      <x:c r="J15" s="18"/>
      <x:c r="K15" s="19" t="str">
        <x:f>IF(OR($C15="",$D15=""),"",$I15-($D15*$H15))</x:f>
      </x:c>
      <x:c r="L15" s="18"/>
      <x:c r="M15" s="18"/>
    </x:row>
    <x:row r="16" ht="15" hidden="0" customHeight="1">
      <x:c r="A16" s="22"/>
      <x:c r="B16" s="18"/>
      <x:c r="C16" s="18"/>
      <x:c r="D16" s="18"/>
      <x:c r="E16" s="18" t="str">
        <x:f>IF($C16="","",XLOOKUP($C16,Products!$A$5:$A$34,Products!$B$5:$B$34,""))</x:f>
      </x:c>
      <x:c r="F16" s="18" t="str">
        <x:f>IF($C16="","",XLOOKUP($C16,Products!$A$5:$A$34,Products!$C$5:$C$34,""))</x:f>
      </x:c>
      <x:c r="G16" s="19" t="str">
        <x:f>IF($C16="","",XLOOKUP($C16,Products!$A$5:$A$34,Products!$F$5:$F$34,""))</x:f>
      </x:c>
      <x:c r="H16" s="19" t="str">
        <x:f>IF($C16="","",XLOOKUP($C16,Products!$A$5:$A$34,Products!$E$5:$E$34,""))</x:f>
      </x:c>
      <x:c r="I16" s="19" t="str">
        <x:f>IF(OR($C16="",$D16=""),"",($D16*$G16))</x:f>
      </x:c>
      <x:c r="J16" s="18"/>
      <x:c r="K16" s="19" t="str">
        <x:f>IF(OR($C16="",$D16=""),"",$I16-($D16*$H16))</x:f>
      </x:c>
      <x:c r="L16" s="18"/>
      <x:c r="M16" s="18"/>
    </x:row>
    <x:row r="17" ht="15" hidden="0" customHeight="1">
      <x:c r="A17" s="22"/>
      <x:c r="B17" s="18"/>
      <x:c r="C17" s="18"/>
      <x:c r="D17" s="18"/>
      <x:c r="E17" s="18" t="str">
        <x:f>IF($C17="","",XLOOKUP($C17,Products!$A$5:$A$34,Products!$B$5:$B$34,""))</x:f>
      </x:c>
      <x:c r="F17" s="18" t="str">
        <x:f>IF($C17="","",XLOOKUP($C17,Products!$A$5:$A$34,Products!$C$5:$C$34,""))</x:f>
      </x:c>
      <x:c r="G17" s="19" t="str">
        <x:f>IF($C17="","",XLOOKUP($C17,Products!$A$5:$A$34,Products!$F$5:$F$34,""))</x:f>
      </x:c>
      <x:c r="H17" s="19" t="str">
        <x:f>IF($C17="","",XLOOKUP($C17,Products!$A$5:$A$34,Products!$E$5:$E$34,""))</x:f>
      </x:c>
      <x:c r="I17" s="19" t="str">
        <x:f>IF(OR($C17="",$D17=""),"",($D17*$G17))</x:f>
      </x:c>
      <x:c r="J17" s="18"/>
      <x:c r="K17" s="19" t="str">
        <x:f>IF(OR($C17="",$D17=""),"",$I17-($D17*$H17))</x:f>
      </x:c>
      <x:c r="L17" s="18"/>
      <x:c r="M17" s="18"/>
    </x:row>
    <x:row r="18" ht="15" hidden="0" customHeight="1">
      <x:c r="A18" s="22"/>
      <x:c r="B18" s="18"/>
      <x:c r="C18" s="18"/>
      <x:c r="D18" s="18"/>
      <x:c r="E18" s="18" t="str">
        <x:f>IF($C18="","",XLOOKUP($C18,Products!$A$5:$A$34,Products!$B$5:$B$34,""))</x:f>
      </x:c>
      <x:c r="F18" s="18" t="str">
        <x:f>IF($C18="","",XLOOKUP($C18,Products!$A$5:$A$34,Products!$C$5:$C$34,""))</x:f>
      </x:c>
      <x:c r="G18" s="19" t="str">
        <x:f>IF($C18="","",XLOOKUP($C18,Products!$A$5:$A$34,Products!$F$5:$F$34,""))</x:f>
      </x:c>
      <x:c r="H18" s="19" t="str">
        <x:f>IF($C18="","",XLOOKUP($C18,Products!$A$5:$A$34,Products!$E$5:$E$34,""))</x:f>
      </x:c>
      <x:c r="I18" s="19" t="str">
        <x:f>IF(OR($C18="",$D18=""),"",($D18*$G18))</x:f>
      </x:c>
      <x:c r="J18" s="18"/>
      <x:c r="K18" s="19" t="str">
        <x:f>IF(OR($C18="",$D18=""),"",$I18-($D18*$H18))</x:f>
      </x:c>
      <x:c r="L18" s="18"/>
      <x:c r="M18" s="18"/>
    </x:row>
    <x:row r="19" ht="15" hidden="0" customHeight="1">
      <x:c r="A19" s="22"/>
      <x:c r="B19" s="18"/>
      <x:c r="C19" s="18"/>
      <x:c r="D19" s="18"/>
      <x:c r="E19" s="18" t="str">
        <x:f>IF($C19="","",XLOOKUP($C19,Products!$A$5:$A$34,Products!$B$5:$B$34,""))</x:f>
      </x:c>
      <x:c r="F19" s="18" t="str">
        <x:f>IF($C19="","",XLOOKUP($C19,Products!$A$5:$A$34,Products!$C$5:$C$34,""))</x:f>
      </x:c>
      <x:c r="G19" s="19" t="str">
        <x:f>IF($C19="","",XLOOKUP($C19,Products!$A$5:$A$34,Products!$F$5:$F$34,""))</x:f>
      </x:c>
      <x:c r="H19" s="19" t="str">
        <x:f>IF($C19="","",XLOOKUP($C19,Products!$A$5:$A$34,Products!$E$5:$E$34,""))</x:f>
      </x:c>
      <x:c r="I19" s="19" t="str">
        <x:f>IF(OR($C19="",$D19=""),"",($D19*$G19))</x:f>
      </x:c>
      <x:c r="J19" s="18"/>
      <x:c r="K19" s="19" t="str">
        <x:f>IF(OR($C19="",$D19=""),"",$I19-($D19*$H19))</x:f>
      </x:c>
      <x:c r="L19" s="18"/>
      <x:c r="M19" s="18"/>
    </x:row>
    <x:row r="20" ht="15" hidden="0" customHeight="1">
      <x:c r="A20" s="22"/>
      <x:c r="B20" s="18"/>
      <x:c r="C20" s="18"/>
      <x:c r="D20" s="18"/>
      <x:c r="E20" s="18" t="str">
        <x:f>IF($C20="","",XLOOKUP($C20,Products!$A$5:$A$34,Products!$B$5:$B$34,""))</x:f>
      </x:c>
      <x:c r="F20" s="18" t="str">
        <x:f>IF($C20="","",XLOOKUP($C20,Products!$A$5:$A$34,Products!$C$5:$C$34,""))</x:f>
      </x:c>
      <x:c r="G20" s="19" t="str">
        <x:f>IF($C20="","",XLOOKUP($C20,Products!$A$5:$A$34,Products!$F$5:$F$34,""))</x:f>
      </x:c>
      <x:c r="H20" s="19" t="str">
        <x:f>IF($C20="","",XLOOKUP($C20,Products!$A$5:$A$34,Products!$E$5:$E$34,""))</x:f>
      </x:c>
      <x:c r="I20" s="19" t="str">
        <x:f>IF(OR($C20="",$D20=""),"",($D20*$G20))</x:f>
      </x:c>
      <x:c r="J20" s="18"/>
      <x:c r="K20" s="19" t="str">
        <x:f>IF(OR($C20="",$D20=""),"",$I20-($D20*$H20))</x:f>
      </x:c>
      <x:c r="L20" s="18"/>
      <x:c r="M20" s="18"/>
    </x:row>
    <x:row r="21" ht="15" hidden="0" customHeight="1">
      <x:c r="A21" s="22"/>
      <x:c r="B21" s="18"/>
      <x:c r="C21" s="18"/>
      <x:c r="D21" s="18"/>
      <x:c r="E21" s="18" t="str">
        <x:f>IF($C21="","",XLOOKUP($C21,Products!$A$5:$A$34,Products!$B$5:$B$34,""))</x:f>
      </x:c>
      <x:c r="F21" s="18" t="str">
        <x:f>IF($C21="","",XLOOKUP($C21,Products!$A$5:$A$34,Products!$C$5:$C$34,""))</x:f>
      </x:c>
      <x:c r="G21" s="19" t="str">
        <x:f>IF($C21="","",XLOOKUP($C21,Products!$A$5:$A$34,Products!$F$5:$F$34,""))</x:f>
      </x:c>
      <x:c r="H21" s="19" t="str">
        <x:f>IF($C21="","",XLOOKUP($C21,Products!$A$5:$A$34,Products!$E$5:$E$34,""))</x:f>
      </x:c>
      <x:c r="I21" s="19" t="str">
        <x:f>IF(OR($C21="",$D21=""),"",($D21*$G21))</x:f>
      </x:c>
      <x:c r="J21" s="18"/>
      <x:c r="K21" s="19" t="str">
        <x:f>IF(OR($C21="",$D21=""),"",$I21-($D21*$H21))</x:f>
      </x:c>
      <x:c r="L21" s="18"/>
      <x:c r="M21" s="18"/>
    </x:row>
    <x:row r="22" ht="15" hidden="0" customHeight="1">
      <x:c r="A22" s="22"/>
      <x:c r="B22" s="18"/>
      <x:c r="C22" s="18"/>
      <x:c r="D22" s="18"/>
      <x:c r="E22" s="18" t="str">
        <x:f>IF($C22="","",XLOOKUP($C22,Products!$A$5:$A$34,Products!$B$5:$B$34,""))</x:f>
      </x:c>
      <x:c r="F22" s="18" t="str">
        <x:f>IF($C22="","",XLOOKUP($C22,Products!$A$5:$A$34,Products!$C$5:$C$34,""))</x:f>
      </x:c>
      <x:c r="G22" s="19" t="str">
        <x:f>IF($C22="","",XLOOKUP($C22,Products!$A$5:$A$34,Products!$F$5:$F$34,""))</x:f>
      </x:c>
      <x:c r="H22" s="19" t="str">
        <x:f>IF($C22="","",XLOOKUP($C22,Products!$A$5:$A$34,Products!$E$5:$E$34,""))</x:f>
      </x:c>
      <x:c r="I22" s="19" t="str">
        <x:f>IF(OR($C22="",$D22=""),"",($D22*$G22))</x:f>
      </x:c>
      <x:c r="J22" s="18"/>
      <x:c r="K22" s="19" t="str">
        <x:f>IF(OR($C22="",$D22=""),"",$I22-($D22*$H22))</x:f>
      </x:c>
      <x:c r="L22" s="18"/>
      <x:c r="M22" s="18"/>
    </x:row>
    <x:row r="23" ht="15" hidden="0" customHeight="1">
      <x:c r="A23" s="22"/>
      <x:c r="B23" s="18"/>
      <x:c r="C23" s="18"/>
      <x:c r="D23" s="18"/>
      <x:c r="E23" s="18" t="str">
        <x:f>IF($C23="","",XLOOKUP($C23,Products!$A$5:$A$34,Products!$B$5:$B$34,""))</x:f>
      </x:c>
      <x:c r="F23" s="18" t="str">
        <x:f>IF($C23="","",XLOOKUP($C23,Products!$A$5:$A$34,Products!$C$5:$C$34,""))</x:f>
      </x:c>
      <x:c r="G23" s="19" t="str">
        <x:f>IF($C23="","",XLOOKUP($C23,Products!$A$5:$A$34,Products!$F$5:$F$34,""))</x:f>
      </x:c>
      <x:c r="H23" s="19" t="str">
        <x:f>IF($C23="","",XLOOKUP($C23,Products!$A$5:$A$34,Products!$E$5:$E$34,""))</x:f>
      </x:c>
      <x:c r="I23" s="19" t="str">
        <x:f>IF(OR($C23="",$D23=""),"",($D23*$G23))</x:f>
      </x:c>
      <x:c r="J23" s="18"/>
      <x:c r="K23" s="19" t="str">
        <x:f>IF(OR($C23="",$D23=""),"",$I23-($D23*$H23))</x:f>
      </x:c>
      <x:c r="L23" s="18"/>
      <x:c r="M23" s="18"/>
    </x:row>
    <x:row r="24" ht="15" hidden="0" customHeight="1">
      <x:c r="A24" s="22"/>
      <x:c r="B24" s="18"/>
      <x:c r="C24" s="18"/>
      <x:c r="D24" s="18"/>
      <x:c r="E24" s="18" t="str">
        <x:f>IF($C24="","",XLOOKUP($C24,Products!$A$5:$A$34,Products!$B$5:$B$34,""))</x:f>
      </x:c>
      <x:c r="F24" s="18" t="str">
        <x:f>IF($C24="","",XLOOKUP($C24,Products!$A$5:$A$34,Products!$C$5:$C$34,""))</x:f>
      </x:c>
      <x:c r="G24" s="19" t="str">
        <x:f>IF($C24="","",XLOOKUP($C24,Products!$A$5:$A$34,Products!$F$5:$F$34,""))</x:f>
      </x:c>
      <x:c r="H24" s="19" t="str">
        <x:f>IF($C24="","",XLOOKUP($C24,Products!$A$5:$A$34,Products!$E$5:$E$34,""))</x:f>
      </x:c>
      <x:c r="I24" s="19" t="str">
        <x:f>IF(OR($C24="",$D24=""),"",($D24*$G24))</x:f>
      </x:c>
      <x:c r="J24" s="18"/>
      <x:c r="K24" s="19" t="str">
        <x:f>IF(OR($C24="",$D24=""),"",$I24-($D24*$H24))</x:f>
      </x:c>
      <x:c r="L24" s="18"/>
      <x:c r="M24" s="18"/>
    </x:row>
    <x:row r="25" ht="15" hidden="0" customHeight="1">
      <x:c r="A25" s="22"/>
      <x:c r="B25" s="18"/>
      <x:c r="C25" s="18"/>
      <x:c r="D25" s="18"/>
      <x:c r="E25" s="18" t="str">
        <x:f>IF($C25="","",XLOOKUP($C25,Products!$A$5:$A$34,Products!$B$5:$B$34,""))</x:f>
      </x:c>
      <x:c r="F25" s="18" t="str">
        <x:f>IF($C25="","",XLOOKUP($C25,Products!$A$5:$A$34,Products!$C$5:$C$34,""))</x:f>
      </x:c>
      <x:c r="G25" s="19" t="str">
        <x:f>IF($C25="","",XLOOKUP($C25,Products!$A$5:$A$34,Products!$F$5:$F$34,""))</x:f>
      </x:c>
      <x:c r="H25" s="19" t="str">
        <x:f>IF($C25="","",XLOOKUP($C25,Products!$A$5:$A$34,Products!$E$5:$E$34,""))</x:f>
      </x:c>
      <x:c r="I25" s="19" t="str">
        <x:f>IF(OR($C25="",$D25=""),"",($D25*$G25))</x:f>
      </x:c>
      <x:c r="J25" s="18"/>
      <x:c r="K25" s="19" t="str">
        <x:f>IF(OR($C25="",$D25=""),"",$I25-($D25*$H25))</x:f>
      </x:c>
      <x:c r="L25" s="18"/>
      <x:c r="M25" s="18"/>
    </x:row>
    <x:row r="26" ht="15" hidden="0" customHeight="1">
      <x:c r="A26" s="22"/>
      <x:c r="B26" s="18"/>
      <x:c r="C26" s="18"/>
      <x:c r="D26" s="18"/>
      <x:c r="E26" s="18" t="str">
        <x:f>IF($C26="","",XLOOKUP($C26,Products!$A$5:$A$34,Products!$B$5:$B$34,""))</x:f>
      </x:c>
      <x:c r="F26" s="18" t="str">
        <x:f>IF($C26="","",XLOOKUP($C26,Products!$A$5:$A$34,Products!$C$5:$C$34,""))</x:f>
      </x:c>
      <x:c r="G26" s="19" t="str">
        <x:f>IF($C26="","",XLOOKUP($C26,Products!$A$5:$A$34,Products!$F$5:$F$34,""))</x:f>
      </x:c>
      <x:c r="H26" s="19" t="str">
        <x:f>IF($C26="","",XLOOKUP($C26,Products!$A$5:$A$34,Products!$E$5:$E$34,""))</x:f>
      </x:c>
      <x:c r="I26" s="19" t="str">
        <x:f>IF(OR($C26="",$D26=""),"",($D26*$G26))</x:f>
      </x:c>
      <x:c r="J26" s="18"/>
      <x:c r="K26" s="19" t="str">
        <x:f>IF(OR($C26="",$D26=""),"",$I26-($D26*$H26))</x:f>
      </x:c>
      <x:c r="L26" s="18"/>
      <x:c r="M26" s="18"/>
    </x:row>
    <x:row r="27" ht="15" hidden="0" customHeight="1">
      <x:c r="A27" s="22"/>
      <x:c r="B27" s="18"/>
      <x:c r="C27" s="18"/>
      <x:c r="D27" s="18"/>
      <x:c r="E27" s="18" t="str">
        <x:f>IF($C27="","",XLOOKUP($C27,Products!$A$5:$A$34,Products!$B$5:$B$34,""))</x:f>
      </x:c>
      <x:c r="F27" s="18" t="str">
        <x:f>IF($C27="","",XLOOKUP($C27,Products!$A$5:$A$34,Products!$C$5:$C$34,""))</x:f>
      </x:c>
      <x:c r="G27" s="19" t="str">
        <x:f>IF($C27="","",XLOOKUP($C27,Products!$A$5:$A$34,Products!$F$5:$F$34,""))</x:f>
      </x:c>
      <x:c r="H27" s="19" t="str">
        <x:f>IF($C27="","",XLOOKUP($C27,Products!$A$5:$A$34,Products!$E$5:$E$34,""))</x:f>
      </x:c>
      <x:c r="I27" s="19" t="str">
        <x:f>IF(OR($C27="",$D27=""),"",($D27*$G27))</x:f>
      </x:c>
      <x:c r="J27" s="18"/>
      <x:c r="K27" s="19" t="str">
        <x:f>IF(OR($C27="",$D27=""),"",$I27-($D27*$H27))</x:f>
      </x:c>
      <x:c r="L27" s="18"/>
      <x:c r="M27" s="18"/>
    </x:row>
    <x:row r="28" ht="15" hidden="0" customHeight="1">
      <x:c r="A28" s="22"/>
      <x:c r="B28" s="18"/>
      <x:c r="C28" s="18"/>
      <x:c r="D28" s="18"/>
      <x:c r="E28" s="18" t="str">
        <x:f>IF($C28="","",XLOOKUP($C28,Products!$A$5:$A$34,Products!$B$5:$B$34,""))</x:f>
      </x:c>
      <x:c r="F28" s="18" t="str">
        <x:f>IF($C28="","",XLOOKUP($C28,Products!$A$5:$A$34,Products!$C$5:$C$34,""))</x:f>
      </x:c>
      <x:c r="G28" s="19" t="str">
        <x:f>IF($C28="","",XLOOKUP($C28,Products!$A$5:$A$34,Products!$F$5:$F$34,""))</x:f>
      </x:c>
      <x:c r="H28" s="19" t="str">
        <x:f>IF($C28="","",XLOOKUP($C28,Products!$A$5:$A$34,Products!$E$5:$E$34,""))</x:f>
      </x:c>
      <x:c r="I28" s="19" t="str">
        <x:f>IF(OR($C28="",$D28=""),"",($D28*$G28))</x:f>
      </x:c>
      <x:c r="J28" s="18"/>
      <x:c r="K28" s="19" t="str">
        <x:f>IF(OR($C28="",$D28=""),"",$I28-($D28*$H28))</x:f>
      </x:c>
      <x:c r="L28" s="18"/>
      <x:c r="M28" s="18"/>
    </x:row>
    <x:row r="29" ht="15" hidden="0" customHeight="1">
      <x:c r="A29" s="22"/>
      <x:c r="B29" s="18"/>
      <x:c r="C29" s="18"/>
      <x:c r="D29" s="18"/>
      <x:c r="E29" s="18" t="str">
        <x:f>IF($C29="","",XLOOKUP($C29,Products!$A$5:$A$34,Products!$B$5:$B$34,""))</x:f>
      </x:c>
      <x:c r="F29" s="18" t="str">
        <x:f>IF($C29="","",XLOOKUP($C29,Products!$A$5:$A$34,Products!$C$5:$C$34,""))</x:f>
      </x:c>
      <x:c r="G29" s="19" t="str">
        <x:f>IF($C29="","",XLOOKUP($C29,Products!$A$5:$A$34,Products!$F$5:$F$34,""))</x:f>
      </x:c>
      <x:c r="H29" s="19" t="str">
        <x:f>IF($C29="","",XLOOKUP($C29,Products!$A$5:$A$34,Products!$E$5:$E$34,""))</x:f>
      </x:c>
      <x:c r="I29" s="19" t="str">
        <x:f>IF(OR($C29="",$D29=""),"",($D29*$G29))</x:f>
      </x:c>
      <x:c r="J29" s="18"/>
      <x:c r="K29" s="19" t="str">
        <x:f>IF(OR($C29="",$D29=""),"",$I29-($D29*$H29))</x:f>
      </x:c>
      <x:c r="L29" s="18"/>
      <x:c r="M29" s="18"/>
    </x:row>
    <x:row r="30" ht="15" hidden="0" customHeight="1">
      <x:c r="A30" s="22"/>
      <x:c r="B30" s="18"/>
      <x:c r="C30" s="18"/>
      <x:c r="D30" s="18"/>
      <x:c r="E30" s="18" t="str">
        <x:f>IF($C30="","",XLOOKUP($C30,Products!$A$5:$A$34,Products!$B$5:$B$34,""))</x:f>
      </x:c>
      <x:c r="F30" s="18" t="str">
        <x:f>IF($C30="","",XLOOKUP($C30,Products!$A$5:$A$34,Products!$C$5:$C$34,""))</x:f>
      </x:c>
      <x:c r="G30" s="19" t="str">
        <x:f>IF($C30="","",XLOOKUP($C30,Products!$A$5:$A$34,Products!$F$5:$F$34,""))</x:f>
      </x:c>
      <x:c r="H30" s="19" t="str">
        <x:f>IF($C30="","",XLOOKUP($C30,Products!$A$5:$A$34,Products!$E$5:$E$34,""))</x:f>
      </x:c>
      <x:c r="I30" s="19" t="str">
        <x:f>IF(OR($C30="",$D30=""),"",($D30*$G30))</x:f>
      </x:c>
      <x:c r="J30" s="18"/>
      <x:c r="K30" s="19" t="str">
        <x:f>IF(OR($C30="",$D30=""),"",$I30-($D30*$H30))</x:f>
      </x:c>
      <x:c r="L30" s="18"/>
      <x:c r="M30" s="18"/>
    </x:row>
    <x:row r="31" ht="15" hidden="0" customHeight="1">
      <x:c r="A31" s="22"/>
      <x:c r="B31" s="18"/>
      <x:c r="C31" s="18"/>
      <x:c r="D31" s="18"/>
      <x:c r="E31" s="18" t="str">
        <x:f>IF($C31="","",XLOOKUP($C31,Products!$A$5:$A$34,Products!$B$5:$B$34,""))</x:f>
      </x:c>
      <x:c r="F31" s="18" t="str">
        <x:f>IF($C31="","",XLOOKUP($C31,Products!$A$5:$A$34,Products!$C$5:$C$34,""))</x:f>
      </x:c>
      <x:c r="G31" s="19" t="str">
        <x:f>IF($C31="","",XLOOKUP($C31,Products!$A$5:$A$34,Products!$F$5:$F$34,""))</x:f>
      </x:c>
      <x:c r="H31" s="19" t="str">
        <x:f>IF($C31="","",XLOOKUP($C31,Products!$A$5:$A$34,Products!$E$5:$E$34,""))</x:f>
      </x:c>
      <x:c r="I31" s="19" t="str">
        <x:f>IF(OR($C31="",$D31=""),"",($D31*$G31))</x:f>
      </x:c>
      <x:c r="J31" s="18"/>
      <x:c r="K31" s="19" t="str">
        <x:f>IF(OR($C31="",$D31=""),"",$I31-($D31*$H31))</x:f>
      </x:c>
      <x:c r="L31" s="18"/>
      <x:c r="M31" s="18"/>
    </x:row>
    <x:row r="32" ht="15" hidden="0" customHeight="1">
      <x:c r="A32" s="22"/>
      <x:c r="B32" s="18"/>
      <x:c r="C32" s="18"/>
      <x:c r="D32" s="18"/>
      <x:c r="E32" s="18" t="str">
        <x:f>IF($C32="","",XLOOKUP($C32,Products!$A$5:$A$34,Products!$B$5:$B$34,""))</x:f>
      </x:c>
      <x:c r="F32" s="18" t="str">
        <x:f>IF($C32="","",XLOOKUP($C32,Products!$A$5:$A$34,Products!$C$5:$C$34,""))</x:f>
      </x:c>
      <x:c r="G32" s="19" t="str">
        <x:f>IF($C32="","",XLOOKUP($C32,Products!$A$5:$A$34,Products!$F$5:$F$34,""))</x:f>
      </x:c>
      <x:c r="H32" s="19" t="str">
        <x:f>IF($C32="","",XLOOKUP($C32,Products!$A$5:$A$34,Products!$E$5:$E$34,""))</x:f>
      </x:c>
      <x:c r="I32" s="19" t="str">
        <x:f>IF(OR($C32="",$D32=""),"",($D32*$G32))</x:f>
      </x:c>
      <x:c r="J32" s="18"/>
      <x:c r="K32" s="19" t="str">
        <x:f>IF(OR($C32="",$D32=""),"",$I32-($D32*$H32))</x:f>
      </x:c>
      <x:c r="L32" s="18"/>
      <x:c r="M32" s="18"/>
    </x:row>
    <x:row r="33" ht="15" hidden="0" customHeight="1">
      <x:c r="A33" s="22"/>
      <x:c r="B33" s="18"/>
      <x:c r="C33" s="18"/>
      <x:c r="D33" s="18"/>
      <x:c r="E33" s="18" t="str">
        <x:f>IF($C33="","",XLOOKUP($C33,Products!$A$5:$A$34,Products!$B$5:$B$34,""))</x:f>
      </x:c>
      <x:c r="F33" s="18" t="str">
        <x:f>IF($C33="","",XLOOKUP($C33,Products!$A$5:$A$34,Products!$C$5:$C$34,""))</x:f>
      </x:c>
      <x:c r="G33" s="19" t="str">
        <x:f>IF($C33="","",XLOOKUP($C33,Products!$A$5:$A$34,Products!$F$5:$F$34,""))</x:f>
      </x:c>
      <x:c r="H33" s="19" t="str">
        <x:f>IF($C33="","",XLOOKUP($C33,Products!$A$5:$A$34,Products!$E$5:$E$34,""))</x:f>
      </x:c>
      <x:c r="I33" s="19" t="str">
        <x:f>IF(OR($C33="",$D33=""),"",($D33*$G33))</x:f>
      </x:c>
      <x:c r="J33" s="18"/>
      <x:c r="K33" s="19" t="str">
        <x:f>IF(OR($C33="",$D33=""),"",$I33-($D33*$H33))</x:f>
      </x:c>
      <x:c r="L33" s="18"/>
      <x:c r="M33" s="18"/>
    </x:row>
    <x:row r="34" ht="15" hidden="0" customHeight="1">
      <x:c r="A34" s="22"/>
      <x:c r="B34" s="18"/>
      <x:c r="C34" s="18"/>
      <x:c r="D34" s="18"/>
      <x:c r="E34" s="18" t="str">
        <x:f>IF($C34="","",XLOOKUP($C34,Products!$A$5:$A$34,Products!$B$5:$B$34,""))</x:f>
      </x:c>
      <x:c r="F34" s="18" t="str">
        <x:f>IF($C34="","",XLOOKUP($C34,Products!$A$5:$A$34,Products!$C$5:$C$34,""))</x:f>
      </x:c>
      <x:c r="G34" s="19" t="str">
        <x:f>IF($C34="","",XLOOKUP($C34,Products!$A$5:$A$34,Products!$F$5:$F$34,""))</x:f>
      </x:c>
      <x:c r="H34" s="19" t="str">
        <x:f>IF($C34="","",XLOOKUP($C34,Products!$A$5:$A$34,Products!$E$5:$E$34,""))</x:f>
      </x:c>
      <x:c r="I34" s="19" t="str">
        <x:f>IF(OR($C34="",$D34=""),"",($D34*$G34))</x:f>
      </x:c>
      <x:c r="J34" s="18"/>
      <x:c r="K34" s="19" t="str">
        <x:f>IF(OR($C34="",$D34=""),"",$I34-($D34*$H34))</x:f>
      </x:c>
      <x:c r="L34" s="18"/>
      <x:c r="M34" s="18"/>
    </x:row>
    <x:row r="35" ht="15" hidden="0" customHeight="1">
      <x:c r="A35" s="22"/>
      <x:c r="B35" s="18"/>
      <x:c r="C35" s="18"/>
      <x:c r="D35" s="18"/>
      <x:c r="E35" s="18" t="str">
        <x:f>IF($C35="","",XLOOKUP($C35,Products!$A$5:$A$34,Products!$B$5:$B$34,""))</x:f>
      </x:c>
      <x:c r="F35" s="18" t="str">
        <x:f>IF($C35="","",XLOOKUP($C35,Products!$A$5:$A$34,Products!$C$5:$C$34,""))</x:f>
      </x:c>
      <x:c r="G35" s="19" t="str">
        <x:f>IF($C35="","",XLOOKUP($C35,Products!$A$5:$A$34,Products!$F$5:$F$34,""))</x:f>
      </x:c>
      <x:c r="H35" s="19" t="str">
        <x:f>IF($C35="","",XLOOKUP($C35,Products!$A$5:$A$34,Products!$E$5:$E$34,""))</x:f>
      </x:c>
      <x:c r="I35" s="19" t="str">
        <x:f>IF(OR($C35="",$D35=""),"",($D35*$G35))</x:f>
      </x:c>
      <x:c r="J35" s="18"/>
      <x:c r="K35" s="19" t="str">
        <x:f>IF(OR($C35="",$D35=""),"",$I35-($D35*$H35))</x:f>
      </x:c>
      <x:c r="L35" s="18"/>
      <x:c r="M35" s="18"/>
    </x:row>
    <x:row r="36" ht="15" hidden="0" customHeight="1">
      <x:c r="A36" s="22"/>
      <x:c r="B36" s="18"/>
      <x:c r="C36" s="18"/>
      <x:c r="D36" s="18"/>
      <x:c r="E36" s="18" t="str">
        <x:f>IF($C36="","",XLOOKUP($C36,Products!$A$5:$A$34,Products!$B$5:$B$34,""))</x:f>
      </x:c>
      <x:c r="F36" s="18" t="str">
        <x:f>IF($C36="","",XLOOKUP($C36,Products!$A$5:$A$34,Products!$C$5:$C$34,""))</x:f>
      </x:c>
      <x:c r="G36" s="19" t="str">
        <x:f>IF($C36="","",XLOOKUP($C36,Products!$A$5:$A$34,Products!$F$5:$F$34,""))</x:f>
      </x:c>
      <x:c r="H36" s="19" t="str">
        <x:f>IF($C36="","",XLOOKUP($C36,Products!$A$5:$A$34,Products!$E$5:$E$34,""))</x:f>
      </x:c>
      <x:c r="I36" s="19" t="str">
        <x:f>IF(OR($C36="",$D36=""),"",($D36*$G36))</x:f>
      </x:c>
      <x:c r="J36" s="18"/>
      <x:c r="K36" s="19" t="str">
        <x:f>IF(OR($C36="",$D36=""),"",$I36-($D36*$H36))</x:f>
      </x:c>
      <x:c r="L36" s="18"/>
      <x:c r="M36" s="18"/>
    </x:row>
    <x:row r="37" ht="15" hidden="0" customHeight="1">
      <x:c r="A37" s="22"/>
      <x:c r="B37" s="18"/>
      <x:c r="C37" s="18"/>
      <x:c r="D37" s="18"/>
      <x:c r="E37" s="18" t="str">
        <x:f>IF($C37="","",XLOOKUP($C37,Products!$A$5:$A$34,Products!$B$5:$B$34,""))</x:f>
      </x:c>
      <x:c r="F37" s="18" t="str">
        <x:f>IF($C37="","",XLOOKUP($C37,Products!$A$5:$A$34,Products!$C$5:$C$34,""))</x:f>
      </x:c>
      <x:c r="G37" s="19" t="str">
        <x:f>IF($C37="","",XLOOKUP($C37,Products!$A$5:$A$34,Products!$F$5:$F$34,""))</x:f>
      </x:c>
      <x:c r="H37" s="19" t="str">
        <x:f>IF($C37="","",XLOOKUP($C37,Products!$A$5:$A$34,Products!$E$5:$E$34,""))</x:f>
      </x:c>
      <x:c r="I37" s="19" t="str">
        <x:f>IF(OR($C37="",$D37=""),"",($D37*$G37))</x:f>
      </x:c>
      <x:c r="J37" s="18"/>
      <x:c r="K37" s="19" t="str">
        <x:f>IF(OR($C37="",$D37=""),"",$I37-($D37*$H37))</x:f>
      </x:c>
      <x:c r="L37" s="18"/>
      <x:c r="M37" s="18"/>
    </x:row>
    <x:row r="38" ht="15" hidden="0" customHeight="1">
      <x:c r="A38" s="22"/>
      <x:c r="B38" s="18"/>
      <x:c r="C38" s="18"/>
      <x:c r="D38" s="18"/>
      <x:c r="E38" s="18" t="str">
        <x:f>IF($C38="","",XLOOKUP($C38,Products!$A$5:$A$34,Products!$B$5:$B$34,""))</x:f>
      </x:c>
      <x:c r="F38" s="18" t="str">
        <x:f>IF($C38="","",XLOOKUP($C38,Products!$A$5:$A$34,Products!$C$5:$C$34,""))</x:f>
      </x:c>
      <x:c r="G38" s="19" t="str">
        <x:f>IF($C38="","",XLOOKUP($C38,Products!$A$5:$A$34,Products!$F$5:$F$34,""))</x:f>
      </x:c>
      <x:c r="H38" s="19" t="str">
        <x:f>IF($C38="","",XLOOKUP($C38,Products!$A$5:$A$34,Products!$E$5:$E$34,""))</x:f>
      </x:c>
      <x:c r="I38" s="19" t="str">
        <x:f>IF(OR($C38="",$D38=""),"",($D38*$G38))</x:f>
      </x:c>
      <x:c r="J38" s="18"/>
      <x:c r="K38" s="19" t="str">
        <x:f>IF(OR($C38="",$D38=""),"",$I38-($D38*$H38))</x:f>
      </x:c>
      <x:c r="L38" s="18"/>
      <x:c r="M38" s="18"/>
    </x:row>
    <x:row r="39" ht="15" hidden="0" customHeight="1">
      <x:c r="A39" s="22"/>
      <x:c r="B39" s="18"/>
      <x:c r="C39" s="18"/>
      <x:c r="D39" s="18"/>
      <x:c r="E39" s="18" t="str">
        <x:f>IF($C39="","",XLOOKUP($C39,Products!$A$5:$A$34,Products!$B$5:$B$34,""))</x:f>
      </x:c>
      <x:c r="F39" s="18" t="str">
        <x:f>IF($C39="","",XLOOKUP($C39,Products!$A$5:$A$34,Products!$C$5:$C$34,""))</x:f>
      </x:c>
      <x:c r="G39" s="19" t="str">
        <x:f>IF($C39="","",XLOOKUP($C39,Products!$A$5:$A$34,Products!$F$5:$F$34,""))</x:f>
      </x:c>
      <x:c r="H39" s="19" t="str">
        <x:f>IF($C39="","",XLOOKUP($C39,Products!$A$5:$A$34,Products!$E$5:$E$34,""))</x:f>
      </x:c>
      <x:c r="I39" s="19" t="str">
        <x:f>IF(OR($C39="",$D39=""),"",($D39*$G39))</x:f>
      </x:c>
      <x:c r="J39" s="18"/>
      <x:c r="K39" s="19" t="str">
        <x:f>IF(OR($C39="",$D39=""),"",$I39-($D39*$H39))</x:f>
      </x:c>
      <x:c r="L39" s="18"/>
      <x:c r="M39" s="18"/>
    </x:row>
    <x:row r="40" ht="15" hidden="0" customHeight="1">
      <x:c r="A40" s="22"/>
      <x:c r="B40" s="18"/>
      <x:c r="C40" s="18"/>
      <x:c r="D40" s="18"/>
      <x:c r="E40" s="18" t="str">
        <x:f>IF($C40="","",XLOOKUP($C40,Products!$A$5:$A$34,Products!$B$5:$B$34,""))</x:f>
      </x:c>
      <x:c r="F40" s="18" t="str">
        <x:f>IF($C40="","",XLOOKUP($C40,Products!$A$5:$A$34,Products!$C$5:$C$34,""))</x:f>
      </x:c>
      <x:c r="G40" s="19" t="str">
        <x:f>IF($C40="","",XLOOKUP($C40,Products!$A$5:$A$34,Products!$F$5:$F$34,""))</x:f>
      </x:c>
      <x:c r="H40" s="19" t="str">
        <x:f>IF($C40="","",XLOOKUP($C40,Products!$A$5:$A$34,Products!$E$5:$E$34,""))</x:f>
      </x:c>
      <x:c r="I40" s="19" t="str">
        <x:f>IF(OR($C40="",$D40=""),"",($D40*$G40))</x:f>
      </x:c>
      <x:c r="J40" s="18"/>
      <x:c r="K40" s="19" t="str">
        <x:f>IF(OR($C40="",$D40=""),"",$I40-($D40*$H40))</x:f>
      </x:c>
      <x:c r="L40" s="18"/>
      <x:c r="M40" s="18"/>
    </x:row>
    <x:row r="41" ht="15" hidden="0" customHeight="1">
      <x:c r="A41" s="22"/>
      <x:c r="B41" s="18"/>
      <x:c r="C41" s="18"/>
      <x:c r="D41" s="18"/>
      <x:c r="E41" s="18" t="str">
        <x:f>IF($C41="","",XLOOKUP($C41,Products!$A$5:$A$34,Products!$B$5:$B$34,""))</x:f>
      </x:c>
      <x:c r="F41" s="18" t="str">
        <x:f>IF($C41="","",XLOOKUP($C41,Products!$A$5:$A$34,Products!$C$5:$C$34,""))</x:f>
      </x:c>
      <x:c r="G41" s="19" t="str">
        <x:f>IF($C41="","",XLOOKUP($C41,Products!$A$5:$A$34,Products!$F$5:$F$34,""))</x:f>
      </x:c>
      <x:c r="H41" s="19" t="str">
        <x:f>IF($C41="","",XLOOKUP($C41,Products!$A$5:$A$34,Products!$E$5:$E$34,""))</x:f>
      </x:c>
      <x:c r="I41" s="19" t="str">
        <x:f>IF(OR($C41="",$D41=""),"",($D41*$G41))</x:f>
      </x:c>
      <x:c r="J41" s="18"/>
      <x:c r="K41" s="19" t="str">
        <x:f>IF(OR($C41="",$D41=""),"",$I41-($D41*$H41))</x:f>
      </x:c>
      <x:c r="L41" s="18"/>
      <x:c r="M41" s="18"/>
    </x:row>
    <x:row r="42" ht="15" hidden="0" customHeight="1">
      <x:c r="A42" s="22"/>
      <x:c r="B42" s="18"/>
      <x:c r="C42" s="18"/>
      <x:c r="D42" s="18"/>
      <x:c r="E42" s="18" t="str">
        <x:f>IF($C42="","",XLOOKUP($C42,Products!$A$5:$A$34,Products!$B$5:$B$34,""))</x:f>
      </x:c>
      <x:c r="F42" s="18" t="str">
        <x:f>IF($C42="","",XLOOKUP($C42,Products!$A$5:$A$34,Products!$C$5:$C$34,""))</x:f>
      </x:c>
      <x:c r="G42" s="19" t="str">
        <x:f>IF($C42="","",XLOOKUP($C42,Products!$A$5:$A$34,Products!$F$5:$F$34,""))</x:f>
      </x:c>
      <x:c r="H42" s="19" t="str">
        <x:f>IF($C42="","",XLOOKUP($C42,Products!$A$5:$A$34,Products!$E$5:$E$34,""))</x:f>
      </x:c>
      <x:c r="I42" s="19" t="str">
        <x:f>IF(OR($C42="",$D42=""),"",($D42*$G42))</x:f>
      </x:c>
      <x:c r="J42" s="18"/>
      <x:c r="K42" s="19" t="str">
        <x:f>IF(OR($C42="",$D42=""),"",$I42-($D42*$H42))</x:f>
      </x:c>
      <x:c r="L42" s="18"/>
      <x:c r="M42" s="18"/>
    </x:row>
    <x:row r="43" ht="15" hidden="0" customHeight="1">
      <x:c r="A43" s="22"/>
      <x:c r="B43" s="18"/>
      <x:c r="C43" s="18"/>
      <x:c r="D43" s="18"/>
      <x:c r="E43" s="18" t="str">
        <x:f>IF($C43="","",XLOOKUP($C43,Products!$A$5:$A$34,Products!$B$5:$B$34,""))</x:f>
      </x:c>
      <x:c r="F43" s="18" t="str">
        <x:f>IF($C43="","",XLOOKUP($C43,Products!$A$5:$A$34,Products!$C$5:$C$34,""))</x:f>
      </x:c>
      <x:c r="G43" s="19" t="str">
        <x:f>IF($C43="","",XLOOKUP($C43,Products!$A$5:$A$34,Products!$F$5:$F$34,""))</x:f>
      </x:c>
      <x:c r="H43" s="19" t="str">
        <x:f>IF($C43="","",XLOOKUP($C43,Products!$A$5:$A$34,Products!$E$5:$E$34,""))</x:f>
      </x:c>
      <x:c r="I43" s="19" t="str">
        <x:f>IF(OR($C43="",$D43=""),"",($D43*$G43))</x:f>
      </x:c>
      <x:c r="J43" s="18"/>
      <x:c r="K43" s="19" t="str">
        <x:f>IF(OR($C43="",$D43=""),"",$I43-($D43*$H43))</x:f>
      </x:c>
      <x:c r="L43" s="18"/>
      <x:c r="M43" s="18"/>
    </x:row>
    <x:row r="44" ht="15" hidden="0" customHeight="1">
      <x:c r="A44" s="22"/>
      <x:c r="B44" s="18"/>
      <x:c r="C44" s="18"/>
      <x:c r="D44" s="18"/>
      <x:c r="E44" s="18" t="str">
        <x:f>IF($C44="","",XLOOKUP($C44,Products!$A$5:$A$34,Products!$B$5:$B$34,""))</x:f>
      </x:c>
      <x:c r="F44" s="18" t="str">
        <x:f>IF($C44="","",XLOOKUP($C44,Products!$A$5:$A$34,Products!$C$5:$C$34,""))</x:f>
      </x:c>
      <x:c r="G44" s="19" t="str">
        <x:f>IF($C44="","",XLOOKUP($C44,Products!$A$5:$A$34,Products!$F$5:$F$34,""))</x:f>
      </x:c>
      <x:c r="H44" s="19" t="str">
        <x:f>IF($C44="","",XLOOKUP($C44,Products!$A$5:$A$34,Products!$E$5:$E$34,""))</x:f>
      </x:c>
      <x:c r="I44" s="19" t="str">
        <x:f>IF(OR($C44="",$D44=""),"",($D44*$G44))</x:f>
      </x:c>
      <x:c r="J44" s="18"/>
      <x:c r="K44" s="19" t="str">
        <x:f>IF(OR($C44="",$D44=""),"",$I44-($D44*$H44))</x:f>
      </x:c>
      <x:c r="L44" s="18"/>
      <x:c r="M44" s="18"/>
    </x:row>
    <x:row r="45" ht="15" hidden="0" customHeight="1">
      <x:c r="A45" s="22"/>
      <x:c r="B45" s="18"/>
      <x:c r="C45" s="18"/>
      <x:c r="D45" s="18"/>
      <x:c r="E45" s="18" t="str">
        <x:f>IF($C45="","",XLOOKUP($C45,Products!$A$5:$A$34,Products!$B$5:$B$34,""))</x:f>
      </x:c>
      <x:c r="F45" s="18" t="str">
        <x:f>IF($C45="","",XLOOKUP($C45,Products!$A$5:$A$34,Products!$C$5:$C$34,""))</x:f>
      </x:c>
      <x:c r="G45" s="19" t="str">
        <x:f>IF($C45="","",XLOOKUP($C45,Products!$A$5:$A$34,Products!$F$5:$F$34,""))</x:f>
      </x:c>
      <x:c r="H45" s="19" t="str">
        <x:f>IF($C45="","",XLOOKUP($C45,Products!$A$5:$A$34,Products!$E$5:$E$34,""))</x:f>
      </x:c>
      <x:c r="I45" s="19" t="str">
        <x:f>IF(OR($C45="",$D45=""),"",($D45*$G45))</x:f>
      </x:c>
      <x:c r="J45" s="18"/>
      <x:c r="K45" s="19" t="str">
        <x:f>IF(OR($C45="",$D45=""),"",$I45-($D45*$H45))</x:f>
      </x:c>
      <x:c r="L45" s="18"/>
      <x:c r="M45" s="18"/>
    </x:row>
    <x:row r="46" ht="15" hidden="0" customHeight="1">
      <x:c r="A46" s="22"/>
      <x:c r="B46" s="18"/>
      <x:c r="C46" s="18"/>
      <x:c r="D46" s="18"/>
      <x:c r="E46" s="18" t="str">
        <x:f>IF($C46="","",XLOOKUP($C46,Products!$A$5:$A$34,Products!$B$5:$B$34,""))</x:f>
      </x:c>
      <x:c r="F46" s="18" t="str">
        <x:f>IF($C46="","",XLOOKUP($C46,Products!$A$5:$A$34,Products!$C$5:$C$34,""))</x:f>
      </x:c>
      <x:c r="G46" s="19" t="str">
        <x:f>IF($C46="","",XLOOKUP($C46,Products!$A$5:$A$34,Products!$F$5:$F$34,""))</x:f>
      </x:c>
      <x:c r="H46" s="19" t="str">
        <x:f>IF($C46="","",XLOOKUP($C46,Products!$A$5:$A$34,Products!$E$5:$E$34,""))</x:f>
      </x:c>
      <x:c r="I46" s="19" t="str">
        <x:f>IF(OR($C46="",$D46=""),"",($D46*$G46))</x:f>
      </x:c>
      <x:c r="J46" s="18"/>
      <x:c r="K46" s="19" t="str">
        <x:f>IF(OR($C46="",$D46=""),"",$I46-($D46*$H46))</x:f>
      </x:c>
      <x:c r="L46" s="18"/>
      <x:c r="M46" s="18"/>
    </x:row>
    <x:row r="47" ht="15" hidden="0" customHeight="1">
      <x:c r="A47" s="22"/>
      <x:c r="B47" s="18"/>
      <x:c r="C47" s="18"/>
      <x:c r="D47" s="18"/>
      <x:c r="E47" s="18" t="str">
        <x:f>IF($C47="","",XLOOKUP($C47,Products!$A$5:$A$34,Products!$B$5:$B$34,""))</x:f>
      </x:c>
      <x:c r="F47" s="18" t="str">
        <x:f>IF($C47="","",XLOOKUP($C47,Products!$A$5:$A$34,Products!$C$5:$C$34,""))</x:f>
      </x:c>
      <x:c r="G47" s="19" t="str">
        <x:f>IF($C47="","",XLOOKUP($C47,Products!$A$5:$A$34,Products!$F$5:$F$34,""))</x:f>
      </x:c>
      <x:c r="H47" s="19" t="str">
        <x:f>IF($C47="","",XLOOKUP($C47,Products!$A$5:$A$34,Products!$E$5:$E$34,""))</x:f>
      </x:c>
      <x:c r="I47" s="19" t="str">
        <x:f>IF(OR($C47="",$D47=""),"",($D47*$G47))</x:f>
      </x:c>
      <x:c r="J47" s="18"/>
      <x:c r="K47" s="19" t="str">
        <x:f>IF(OR($C47="",$D47=""),"",$I47-($D47*$H47))</x:f>
      </x:c>
      <x:c r="L47" s="18"/>
      <x:c r="M47" s="18"/>
    </x:row>
    <x:row r="48" ht="15" hidden="0" customHeight="1">
      <x:c r="A48" s="22"/>
      <x:c r="B48" s="18"/>
      <x:c r="C48" s="18"/>
      <x:c r="D48" s="18"/>
      <x:c r="E48" s="18" t="str">
        <x:f>IF($C48="","",XLOOKUP($C48,Products!$A$5:$A$34,Products!$B$5:$B$34,""))</x:f>
      </x:c>
      <x:c r="F48" s="18" t="str">
        <x:f>IF($C48="","",XLOOKUP($C48,Products!$A$5:$A$34,Products!$C$5:$C$34,""))</x:f>
      </x:c>
      <x:c r="G48" s="19" t="str">
        <x:f>IF($C48="","",XLOOKUP($C48,Products!$A$5:$A$34,Products!$F$5:$F$34,""))</x:f>
      </x:c>
      <x:c r="H48" s="19" t="str">
        <x:f>IF($C48="","",XLOOKUP($C48,Products!$A$5:$A$34,Products!$E$5:$E$34,""))</x:f>
      </x:c>
      <x:c r="I48" s="19" t="str">
        <x:f>IF(OR($C48="",$D48=""),"",($D48*$G48))</x:f>
      </x:c>
      <x:c r="J48" s="18"/>
      <x:c r="K48" s="19" t="str">
        <x:f>IF(OR($C48="",$D48=""),"",$I48-($D48*$H48))</x:f>
      </x:c>
      <x:c r="L48" s="18"/>
      <x:c r="M48" s="18"/>
    </x:row>
    <x:row r="49" ht="15" hidden="0" customHeight="1">
      <x:c r="A49" s="22"/>
      <x:c r="B49" s="18"/>
      <x:c r="C49" s="18"/>
      <x:c r="D49" s="18"/>
      <x:c r="E49" s="18" t="str">
        <x:f>IF($C49="","",XLOOKUP($C49,Products!$A$5:$A$34,Products!$B$5:$B$34,""))</x:f>
      </x:c>
      <x:c r="F49" s="18" t="str">
        <x:f>IF($C49="","",XLOOKUP($C49,Products!$A$5:$A$34,Products!$C$5:$C$34,""))</x:f>
      </x:c>
      <x:c r="G49" s="19" t="str">
        <x:f>IF($C49="","",XLOOKUP($C49,Products!$A$5:$A$34,Products!$F$5:$F$34,""))</x:f>
      </x:c>
      <x:c r="H49" s="19" t="str">
        <x:f>IF($C49="","",XLOOKUP($C49,Products!$A$5:$A$34,Products!$E$5:$E$34,""))</x:f>
      </x:c>
      <x:c r="I49" s="19" t="str">
        <x:f>IF(OR($C49="",$D49=""),"",($D49*$G49))</x:f>
      </x:c>
      <x:c r="J49" s="18"/>
      <x:c r="K49" s="19" t="str">
        <x:f>IF(OR($C49="",$D49=""),"",$I49-($D49*$H49))</x:f>
      </x:c>
      <x:c r="L49" s="18"/>
      <x:c r="M49" s="18"/>
    </x:row>
    <x:row r="50" ht="15" hidden="0" customHeight="1">
      <x:c r="A50" s="22"/>
      <x:c r="B50" s="18"/>
      <x:c r="C50" s="18"/>
      <x:c r="D50" s="18"/>
      <x:c r="E50" s="18" t="str">
        <x:f>IF($C50="","",XLOOKUP($C50,Products!$A$5:$A$34,Products!$B$5:$B$34,""))</x:f>
      </x:c>
      <x:c r="F50" s="18" t="str">
        <x:f>IF($C50="","",XLOOKUP($C50,Products!$A$5:$A$34,Products!$C$5:$C$34,""))</x:f>
      </x:c>
      <x:c r="G50" s="19" t="str">
        <x:f>IF($C50="","",XLOOKUP($C50,Products!$A$5:$A$34,Products!$F$5:$F$34,""))</x:f>
      </x:c>
      <x:c r="H50" s="19" t="str">
        <x:f>IF($C50="","",XLOOKUP($C50,Products!$A$5:$A$34,Products!$E$5:$E$34,""))</x:f>
      </x:c>
      <x:c r="I50" s="19" t="str">
        <x:f>IF(OR($C50="",$D50=""),"",($D50*$G50))</x:f>
      </x:c>
      <x:c r="J50" s="18"/>
      <x:c r="K50" s="19" t="str">
        <x:f>IF(OR($C50="",$D50=""),"",$I50-($D50*$H50))</x:f>
      </x:c>
      <x:c r="L50" s="18"/>
      <x:c r="M50" s="18"/>
    </x:row>
    <x:row r="51" ht="15" hidden="0" customHeight="1">
      <x:c r="A51" s="22"/>
      <x:c r="B51" s="18"/>
      <x:c r="C51" s="18"/>
      <x:c r="D51" s="18"/>
      <x:c r="E51" s="18" t="str">
        <x:f>IF($C51="","",XLOOKUP($C51,Products!$A$5:$A$34,Products!$B$5:$B$34,""))</x:f>
      </x:c>
      <x:c r="F51" s="18" t="str">
        <x:f>IF($C51="","",XLOOKUP($C51,Products!$A$5:$A$34,Products!$C$5:$C$34,""))</x:f>
      </x:c>
      <x:c r="G51" s="19" t="str">
        <x:f>IF($C51="","",XLOOKUP($C51,Products!$A$5:$A$34,Products!$F$5:$F$34,""))</x:f>
      </x:c>
      <x:c r="H51" s="19" t="str">
        <x:f>IF($C51="","",XLOOKUP($C51,Products!$A$5:$A$34,Products!$E$5:$E$34,""))</x:f>
      </x:c>
      <x:c r="I51" s="19" t="str">
        <x:f>IF(OR($C51="",$D51=""),"",($D51*$G51))</x:f>
      </x:c>
      <x:c r="J51" s="18"/>
      <x:c r="K51" s="19" t="str">
        <x:f>IF(OR($C51="",$D51=""),"",$I51-($D51*$H51))</x:f>
      </x:c>
      <x:c r="L51" s="18"/>
      <x:c r="M51" s="18"/>
    </x:row>
    <x:row r="52" ht="15" hidden="0" customHeight="1">
      <x:c r="A52" s="22"/>
      <x:c r="B52" s="18"/>
      <x:c r="C52" s="18"/>
      <x:c r="D52" s="18"/>
      <x:c r="E52" s="18" t="str">
        <x:f>IF($C52="","",XLOOKUP($C52,Products!$A$5:$A$34,Products!$B$5:$B$34,""))</x:f>
      </x:c>
      <x:c r="F52" s="18" t="str">
        <x:f>IF($C52="","",XLOOKUP($C52,Products!$A$5:$A$34,Products!$C$5:$C$34,""))</x:f>
      </x:c>
      <x:c r="G52" s="19" t="str">
        <x:f>IF($C52="","",XLOOKUP($C52,Products!$A$5:$A$34,Products!$F$5:$F$34,""))</x:f>
      </x:c>
      <x:c r="H52" s="19" t="str">
        <x:f>IF($C52="","",XLOOKUP($C52,Products!$A$5:$A$34,Products!$E$5:$E$34,""))</x:f>
      </x:c>
      <x:c r="I52" s="19" t="str">
        <x:f>IF(OR($C52="",$D52=""),"",($D52*$G52))</x:f>
      </x:c>
      <x:c r="J52" s="18"/>
      <x:c r="K52" s="19" t="str">
        <x:f>IF(OR($C52="",$D52=""),"",$I52-($D52*$H52))</x:f>
      </x:c>
      <x:c r="L52" s="18"/>
      <x:c r="M52" s="18"/>
    </x:row>
    <x:row r="53" ht="15" hidden="0" customHeight="1">
      <x:c r="A53" s="22"/>
      <x:c r="B53" s="18"/>
      <x:c r="C53" s="18"/>
      <x:c r="D53" s="18"/>
      <x:c r="E53" s="18" t="str">
        <x:f>IF($C53="","",XLOOKUP($C53,Products!$A$5:$A$34,Products!$B$5:$B$34,""))</x:f>
      </x:c>
      <x:c r="F53" s="18" t="str">
        <x:f>IF($C53="","",XLOOKUP($C53,Products!$A$5:$A$34,Products!$C$5:$C$34,""))</x:f>
      </x:c>
      <x:c r="G53" s="19" t="str">
        <x:f>IF($C53="","",XLOOKUP($C53,Products!$A$5:$A$34,Products!$F$5:$F$34,""))</x:f>
      </x:c>
      <x:c r="H53" s="19" t="str">
        <x:f>IF($C53="","",XLOOKUP($C53,Products!$A$5:$A$34,Products!$E$5:$E$34,""))</x:f>
      </x:c>
      <x:c r="I53" s="19" t="str">
        <x:f>IF(OR($C53="",$D53=""),"",($D53*$G53))</x:f>
      </x:c>
      <x:c r="J53" s="18"/>
      <x:c r="K53" s="19" t="str">
        <x:f>IF(OR($C53="",$D53=""),"",$I53-($D53*$H53))</x:f>
      </x:c>
      <x:c r="L53" s="18"/>
      <x:c r="M53" s="18"/>
    </x:row>
    <x:row r="54" ht="15" hidden="0" customHeight="1">
      <x:c r="A54" s="22"/>
      <x:c r="B54" s="18"/>
      <x:c r="C54" s="18"/>
      <x:c r="D54" s="18"/>
      <x:c r="E54" s="18" t="str">
        <x:f>IF($C54="","",XLOOKUP($C54,Products!$A$5:$A$34,Products!$B$5:$B$34,""))</x:f>
      </x:c>
      <x:c r="F54" s="18" t="str">
        <x:f>IF($C54="","",XLOOKUP($C54,Products!$A$5:$A$34,Products!$C$5:$C$34,""))</x:f>
      </x:c>
      <x:c r="G54" s="19" t="str">
        <x:f>IF($C54="","",XLOOKUP($C54,Products!$A$5:$A$34,Products!$F$5:$F$34,""))</x:f>
      </x:c>
      <x:c r="H54" s="19" t="str">
        <x:f>IF($C54="","",XLOOKUP($C54,Products!$A$5:$A$34,Products!$E$5:$E$34,""))</x:f>
      </x:c>
      <x:c r="I54" s="19" t="str">
        <x:f>IF(OR($C54="",$D54=""),"",($D54*$G54))</x:f>
      </x:c>
      <x:c r="J54" s="18"/>
      <x:c r="K54" s="19" t="str">
        <x:f>IF(OR($C54="",$D54=""),"",$I54-($D54*$H54))</x:f>
      </x:c>
      <x:c r="L54" s="18"/>
      <x:c r="M54" s="18"/>
    </x:row>
    <x:row r="55" ht="15" hidden="0" customHeight="1">
      <x:c r="A55" s="22"/>
      <x:c r="B55" s="18"/>
      <x:c r="C55" s="18"/>
      <x:c r="D55" s="18"/>
      <x:c r="E55" s="18" t="str">
        <x:f>IF($C55="","",XLOOKUP($C55,Products!$A$5:$A$34,Products!$B$5:$B$34,""))</x:f>
      </x:c>
      <x:c r="F55" s="18" t="str">
        <x:f>IF($C55="","",XLOOKUP($C55,Products!$A$5:$A$34,Products!$C$5:$C$34,""))</x:f>
      </x:c>
      <x:c r="G55" s="19" t="str">
        <x:f>IF($C55="","",XLOOKUP($C55,Products!$A$5:$A$34,Products!$F$5:$F$34,""))</x:f>
      </x:c>
      <x:c r="H55" s="19" t="str">
        <x:f>IF($C55="","",XLOOKUP($C55,Products!$A$5:$A$34,Products!$E$5:$E$34,""))</x:f>
      </x:c>
      <x:c r="I55" s="19" t="str">
        <x:f>IF(OR($C55="",$D55=""),"",($D55*$G55))</x:f>
      </x:c>
      <x:c r="J55" s="18"/>
      <x:c r="K55" s="19" t="str">
        <x:f>IF(OR($C55="",$D55=""),"",$I55-($D55*$H55))</x:f>
      </x:c>
      <x:c r="L55" s="18"/>
      <x:c r="M55" s="18"/>
    </x:row>
    <x:row r="56" ht="15" hidden="0" customHeight="1">
      <x:c r="A56" s="22"/>
      <x:c r="B56" s="18"/>
      <x:c r="C56" s="18"/>
      <x:c r="D56" s="18"/>
      <x:c r="E56" s="18" t="str">
        <x:f>IF($C56="","",XLOOKUP($C56,Products!$A$5:$A$34,Products!$B$5:$B$34,""))</x:f>
      </x:c>
      <x:c r="F56" s="18" t="str">
        <x:f>IF($C56="","",XLOOKUP($C56,Products!$A$5:$A$34,Products!$C$5:$C$34,""))</x:f>
      </x:c>
      <x:c r="G56" s="19" t="str">
        <x:f>IF($C56="","",XLOOKUP($C56,Products!$A$5:$A$34,Products!$F$5:$F$34,""))</x:f>
      </x:c>
      <x:c r="H56" s="19" t="str">
        <x:f>IF($C56="","",XLOOKUP($C56,Products!$A$5:$A$34,Products!$E$5:$E$34,""))</x:f>
      </x:c>
      <x:c r="I56" s="19" t="str">
        <x:f>IF(OR($C56="",$D56=""),"",($D56*$G56))</x:f>
      </x:c>
      <x:c r="J56" s="18"/>
      <x:c r="K56" s="19" t="str">
        <x:f>IF(OR($C56="",$D56=""),"",$I56-($D56*$H56))</x:f>
      </x:c>
      <x:c r="L56" s="18"/>
      <x:c r="M56" s="18"/>
    </x:row>
    <x:row r="57" ht="15" hidden="0" customHeight="1">
      <x:c r="A57" s="22"/>
      <x:c r="B57" s="18"/>
      <x:c r="C57" s="18"/>
      <x:c r="D57" s="18"/>
      <x:c r="E57" s="18" t="str">
        <x:f>IF($C57="","",XLOOKUP($C57,Products!$A$5:$A$34,Products!$B$5:$B$34,""))</x:f>
      </x:c>
      <x:c r="F57" s="18" t="str">
        <x:f>IF($C57="","",XLOOKUP($C57,Products!$A$5:$A$34,Products!$C$5:$C$34,""))</x:f>
      </x:c>
      <x:c r="G57" s="19" t="str">
        <x:f>IF($C57="","",XLOOKUP($C57,Products!$A$5:$A$34,Products!$F$5:$F$34,""))</x:f>
      </x:c>
      <x:c r="H57" s="19" t="str">
        <x:f>IF($C57="","",XLOOKUP($C57,Products!$A$5:$A$34,Products!$E$5:$E$34,""))</x:f>
      </x:c>
      <x:c r="I57" s="19" t="str">
        <x:f>IF(OR($C57="",$D57=""),"",($D57*$G57))</x:f>
      </x:c>
      <x:c r="J57" s="18"/>
      <x:c r="K57" s="19" t="str">
        <x:f>IF(OR($C57="",$D57=""),"",$I57-($D57*$H57))</x:f>
      </x:c>
      <x:c r="L57" s="18"/>
      <x:c r="M57" s="18"/>
    </x:row>
    <x:row r="58" ht="15" hidden="0" customHeight="1">
      <x:c r="A58" s="22"/>
      <x:c r="B58" s="18"/>
      <x:c r="C58" s="18"/>
      <x:c r="D58" s="18"/>
      <x:c r="E58" s="18" t="str">
        <x:f>IF($C58="","",XLOOKUP($C58,Products!$A$5:$A$34,Products!$B$5:$B$34,""))</x:f>
      </x:c>
      <x:c r="F58" s="18" t="str">
        <x:f>IF($C58="","",XLOOKUP($C58,Products!$A$5:$A$34,Products!$C$5:$C$34,""))</x:f>
      </x:c>
      <x:c r="G58" s="19" t="str">
        <x:f>IF($C58="","",XLOOKUP($C58,Products!$A$5:$A$34,Products!$F$5:$F$34,""))</x:f>
      </x:c>
      <x:c r="H58" s="19" t="str">
        <x:f>IF($C58="","",XLOOKUP($C58,Products!$A$5:$A$34,Products!$E$5:$E$34,""))</x:f>
      </x:c>
      <x:c r="I58" s="19" t="str">
        <x:f>IF(OR($C58="",$D58=""),"",($D58*$G58))</x:f>
      </x:c>
      <x:c r="J58" s="18"/>
      <x:c r="K58" s="19" t="str">
        <x:f>IF(OR($C58="",$D58=""),"",$I58-($D58*$H58))</x:f>
      </x:c>
      <x:c r="L58" s="18"/>
      <x:c r="M58" s="18"/>
    </x:row>
    <x:row r="59" ht="15" hidden="0" customHeight="1">
      <x:c r="A59" s="22"/>
      <x:c r="B59" s="18"/>
      <x:c r="C59" s="18"/>
      <x:c r="D59" s="18"/>
      <x:c r="E59" s="18" t="str">
        <x:f>IF($C59="","",XLOOKUP($C59,Products!$A$5:$A$34,Products!$B$5:$B$34,""))</x:f>
      </x:c>
      <x:c r="F59" s="18" t="str">
        <x:f>IF($C59="","",XLOOKUP($C59,Products!$A$5:$A$34,Products!$C$5:$C$34,""))</x:f>
      </x:c>
      <x:c r="G59" s="19" t="str">
        <x:f>IF($C59="","",XLOOKUP($C59,Products!$A$5:$A$34,Products!$F$5:$F$34,""))</x:f>
      </x:c>
      <x:c r="H59" s="19" t="str">
        <x:f>IF($C59="","",XLOOKUP($C59,Products!$A$5:$A$34,Products!$E$5:$E$34,""))</x:f>
      </x:c>
      <x:c r="I59" s="19" t="str">
        <x:f>IF(OR($C59="",$D59=""),"",($D59*$G59))</x:f>
      </x:c>
      <x:c r="J59" s="18"/>
      <x:c r="K59" s="19" t="str">
        <x:f>IF(OR($C59="",$D59=""),"",$I59-($D59*$H59))</x:f>
      </x:c>
      <x:c r="L59" s="18"/>
      <x:c r="M59" s="18"/>
    </x:row>
    <x:row r="60" ht="15" hidden="0" customHeight="1">
      <x:c r="A60" s="22"/>
      <x:c r="B60" s="18"/>
      <x:c r="C60" s="18"/>
      <x:c r="D60" s="18"/>
      <x:c r="E60" s="18" t="str">
        <x:f>IF($C60="","",XLOOKUP($C60,Products!$A$5:$A$34,Products!$B$5:$B$34,""))</x:f>
      </x:c>
      <x:c r="F60" s="18" t="str">
        <x:f>IF($C60="","",XLOOKUP($C60,Products!$A$5:$A$34,Products!$C$5:$C$34,""))</x:f>
      </x:c>
      <x:c r="G60" s="19" t="str">
        <x:f>IF($C60="","",XLOOKUP($C60,Products!$A$5:$A$34,Products!$F$5:$F$34,""))</x:f>
      </x:c>
      <x:c r="H60" s="19" t="str">
        <x:f>IF($C60="","",XLOOKUP($C60,Products!$A$5:$A$34,Products!$E$5:$E$34,""))</x:f>
      </x:c>
      <x:c r="I60" s="19" t="str">
        <x:f>IF(OR($C60="",$D60=""),"",($D60*$G60))</x:f>
      </x:c>
      <x:c r="J60" s="18"/>
      <x:c r="K60" s="19" t="str">
        <x:f>IF(OR($C60="",$D60=""),"",$I60-($D60*$H60))</x:f>
      </x:c>
      <x:c r="L60" s="18"/>
      <x:c r="M60" s="18"/>
    </x:row>
    <x:row r="61" ht="15" hidden="0" customHeight="1">
      <x:c r="A61" s="22"/>
      <x:c r="B61" s="18"/>
      <x:c r="C61" s="18"/>
      <x:c r="D61" s="18"/>
      <x:c r="E61" s="18" t="str">
        <x:f>IF($C61="","",XLOOKUP($C61,Products!$A$5:$A$34,Products!$B$5:$B$34,""))</x:f>
      </x:c>
      <x:c r="F61" s="18" t="str">
        <x:f>IF($C61="","",XLOOKUP($C61,Products!$A$5:$A$34,Products!$C$5:$C$34,""))</x:f>
      </x:c>
      <x:c r="G61" s="19" t="str">
        <x:f>IF($C61="","",XLOOKUP($C61,Products!$A$5:$A$34,Products!$F$5:$F$34,""))</x:f>
      </x:c>
      <x:c r="H61" s="19" t="str">
        <x:f>IF($C61="","",XLOOKUP($C61,Products!$A$5:$A$34,Products!$E$5:$E$34,""))</x:f>
      </x:c>
      <x:c r="I61" s="19" t="str">
        <x:f>IF(OR($C61="",$D61=""),"",($D61*$G61))</x:f>
      </x:c>
      <x:c r="J61" s="18"/>
      <x:c r="K61" s="19" t="str">
        <x:f>IF(OR($C61="",$D61=""),"",$I61-($D61*$H61))</x:f>
      </x:c>
      <x:c r="L61" s="18"/>
      <x:c r="M61" s="18"/>
    </x:row>
    <x:row r="62" ht="15" hidden="0" customHeight="1">
      <x:c r="A62" s="22"/>
      <x:c r="B62" s="18"/>
      <x:c r="C62" s="18"/>
      <x:c r="D62" s="18"/>
      <x:c r="E62" s="18" t="str">
        <x:f>IF($C62="","",XLOOKUP($C62,Products!$A$5:$A$34,Products!$B$5:$B$34,""))</x:f>
      </x:c>
      <x:c r="F62" s="18" t="str">
        <x:f>IF($C62="","",XLOOKUP($C62,Products!$A$5:$A$34,Products!$C$5:$C$34,""))</x:f>
      </x:c>
      <x:c r="G62" s="19" t="str">
        <x:f>IF($C62="","",XLOOKUP($C62,Products!$A$5:$A$34,Products!$F$5:$F$34,""))</x:f>
      </x:c>
      <x:c r="H62" s="19" t="str">
        <x:f>IF($C62="","",XLOOKUP($C62,Products!$A$5:$A$34,Products!$E$5:$E$34,""))</x:f>
      </x:c>
      <x:c r="I62" s="19" t="str">
        <x:f>IF(OR($C62="",$D62=""),"",($D62*$G62))</x:f>
      </x:c>
      <x:c r="J62" s="18"/>
      <x:c r="K62" s="19" t="str">
        <x:f>IF(OR($C62="",$D62=""),"",$I62-($D62*$H62))</x:f>
      </x:c>
      <x:c r="L62" s="18"/>
      <x:c r="M62" s="18"/>
    </x:row>
    <x:row r="63" ht="15" hidden="0" customHeight="1">
      <x:c r="A63" s="22"/>
      <x:c r="B63" s="18"/>
      <x:c r="C63" s="18"/>
      <x:c r="D63" s="18"/>
      <x:c r="E63" s="18" t="str">
        <x:f>IF($C63="","",XLOOKUP($C63,Products!$A$5:$A$34,Products!$B$5:$B$34,""))</x:f>
      </x:c>
      <x:c r="F63" s="18" t="str">
        <x:f>IF($C63="","",XLOOKUP($C63,Products!$A$5:$A$34,Products!$C$5:$C$34,""))</x:f>
      </x:c>
      <x:c r="G63" s="19" t="str">
        <x:f>IF($C63="","",XLOOKUP($C63,Products!$A$5:$A$34,Products!$F$5:$F$34,""))</x:f>
      </x:c>
      <x:c r="H63" s="19" t="str">
        <x:f>IF($C63="","",XLOOKUP($C63,Products!$A$5:$A$34,Products!$E$5:$E$34,""))</x:f>
      </x:c>
      <x:c r="I63" s="19" t="str">
        <x:f>IF(OR($C63="",$D63=""),"",($D63*$G63))</x:f>
      </x:c>
      <x:c r="J63" s="18"/>
      <x:c r="K63" s="19" t="str">
        <x:f>IF(OR($C63="",$D63=""),"",$I63-($D63*$H63))</x:f>
      </x:c>
      <x:c r="L63" s="18"/>
      <x:c r="M63" s="18"/>
    </x:row>
    <x:row r="64" ht="15" hidden="0" customHeight="1">
      <x:c r="A64" s="22"/>
      <x:c r="B64" s="18"/>
      <x:c r="C64" s="18"/>
      <x:c r="D64" s="18"/>
      <x:c r="E64" s="18" t="str">
        <x:f>IF($C64="","",XLOOKUP($C64,Products!$A$5:$A$34,Products!$B$5:$B$34,""))</x:f>
      </x:c>
      <x:c r="F64" s="18" t="str">
        <x:f>IF($C64="","",XLOOKUP($C64,Products!$A$5:$A$34,Products!$C$5:$C$34,""))</x:f>
      </x:c>
      <x:c r="G64" s="19" t="str">
        <x:f>IF($C64="","",XLOOKUP($C64,Products!$A$5:$A$34,Products!$F$5:$F$34,""))</x:f>
      </x:c>
      <x:c r="H64" s="19" t="str">
        <x:f>IF($C64="","",XLOOKUP($C64,Products!$A$5:$A$34,Products!$E$5:$E$34,""))</x:f>
      </x:c>
      <x:c r="I64" s="19" t="str">
        <x:f>IF(OR($C64="",$D64=""),"",($D64*$G64))</x:f>
      </x:c>
      <x:c r="J64" s="18"/>
      <x:c r="K64" s="19" t="str">
        <x:f>IF(OR($C64="",$D64=""),"",$I64-($D64*$H64))</x:f>
      </x:c>
      <x:c r="L64" s="18"/>
      <x:c r="M64" s="18"/>
    </x:row>
    <x:row r="65" ht="15" hidden="0" customHeight="1">
      <x:c r="A65" s="22"/>
      <x:c r="B65" s="18"/>
      <x:c r="C65" s="18"/>
      <x:c r="D65" s="18"/>
      <x:c r="E65" s="18" t="str">
        <x:f>IF($C65="","",XLOOKUP($C65,Products!$A$5:$A$34,Products!$B$5:$B$34,""))</x:f>
      </x:c>
      <x:c r="F65" s="18" t="str">
        <x:f>IF($C65="","",XLOOKUP($C65,Products!$A$5:$A$34,Products!$C$5:$C$34,""))</x:f>
      </x:c>
      <x:c r="G65" s="19" t="str">
        <x:f>IF($C65="","",XLOOKUP($C65,Products!$A$5:$A$34,Products!$F$5:$F$34,""))</x:f>
      </x:c>
      <x:c r="H65" s="19" t="str">
        <x:f>IF($C65="","",XLOOKUP($C65,Products!$A$5:$A$34,Products!$E$5:$E$34,""))</x:f>
      </x:c>
      <x:c r="I65" s="19" t="str">
        <x:f>IF(OR($C65="",$D65=""),"",($D65*$G65))</x:f>
      </x:c>
      <x:c r="J65" s="18"/>
      <x:c r="K65" s="19" t="str">
        <x:f>IF(OR($C65="",$D65=""),"",$I65-($D65*$H65))</x:f>
      </x:c>
      <x:c r="L65" s="18"/>
      <x:c r="M65" s="18"/>
    </x:row>
    <x:row r="66" ht="15" hidden="0" customHeight="1">
      <x:c r="A66" s="22"/>
      <x:c r="B66" s="18"/>
      <x:c r="C66" s="18"/>
      <x:c r="D66" s="18"/>
      <x:c r="E66" s="18" t="str">
        <x:f>IF($C66="","",XLOOKUP($C66,Products!$A$5:$A$34,Products!$B$5:$B$34,""))</x:f>
      </x:c>
      <x:c r="F66" s="18" t="str">
        <x:f>IF($C66="","",XLOOKUP($C66,Products!$A$5:$A$34,Products!$C$5:$C$34,""))</x:f>
      </x:c>
      <x:c r="G66" s="19" t="str">
        <x:f>IF($C66="","",XLOOKUP($C66,Products!$A$5:$A$34,Products!$F$5:$F$34,""))</x:f>
      </x:c>
      <x:c r="H66" s="19" t="str">
        <x:f>IF($C66="","",XLOOKUP($C66,Products!$A$5:$A$34,Products!$E$5:$E$34,""))</x:f>
      </x:c>
      <x:c r="I66" s="19" t="str">
        <x:f>IF(OR($C66="",$D66=""),"",($D66*$G66))</x:f>
      </x:c>
      <x:c r="J66" s="18"/>
      <x:c r="K66" s="19" t="str">
        <x:f>IF(OR($C66="",$D66=""),"",$I66-($D66*$H66))</x:f>
      </x:c>
      <x:c r="L66" s="18"/>
      <x:c r="M66" s="18"/>
    </x:row>
    <x:row r="67" ht="15" hidden="0" customHeight="1">
      <x:c r="A67" s="22"/>
      <x:c r="B67" s="18"/>
      <x:c r="C67" s="18"/>
      <x:c r="D67" s="18"/>
      <x:c r="E67" s="18" t="str">
        <x:f>IF($C67="","",XLOOKUP($C67,Products!$A$5:$A$34,Products!$B$5:$B$34,""))</x:f>
      </x:c>
      <x:c r="F67" s="18" t="str">
        <x:f>IF($C67="","",XLOOKUP($C67,Products!$A$5:$A$34,Products!$C$5:$C$34,""))</x:f>
      </x:c>
      <x:c r="G67" s="19" t="str">
        <x:f>IF($C67="","",XLOOKUP($C67,Products!$A$5:$A$34,Products!$F$5:$F$34,""))</x:f>
      </x:c>
      <x:c r="H67" s="19" t="str">
        <x:f>IF($C67="","",XLOOKUP($C67,Products!$A$5:$A$34,Products!$E$5:$E$34,""))</x:f>
      </x:c>
      <x:c r="I67" s="19" t="str">
        <x:f>IF(OR($C67="",$D67=""),"",($D67*$G67))</x:f>
      </x:c>
      <x:c r="J67" s="18"/>
      <x:c r="K67" s="19" t="str">
        <x:f>IF(OR($C67="",$D67=""),"",$I67-($D67*$H67))</x:f>
      </x:c>
      <x:c r="L67" s="18"/>
      <x:c r="M67" s="18"/>
    </x:row>
    <x:row r="68" ht="15" hidden="0" customHeight="1">
      <x:c r="A68" s="22"/>
      <x:c r="B68" s="18"/>
      <x:c r="C68" s="18"/>
      <x:c r="D68" s="18"/>
      <x:c r="E68" s="18" t="str">
        <x:f>IF($C68="","",XLOOKUP($C68,Products!$A$5:$A$34,Products!$B$5:$B$34,""))</x:f>
      </x:c>
      <x:c r="F68" s="18" t="str">
        <x:f>IF($C68="","",XLOOKUP($C68,Products!$A$5:$A$34,Products!$C$5:$C$34,""))</x:f>
      </x:c>
      <x:c r="G68" s="19" t="str">
        <x:f>IF($C68="","",XLOOKUP($C68,Products!$A$5:$A$34,Products!$F$5:$F$34,""))</x:f>
      </x:c>
      <x:c r="H68" s="19" t="str">
        <x:f>IF($C68="","",XLOOKUP($C68,Products!$A$5:$A$34,Products!$E$5:$E$34,""))</x:f>
      </x:c>
      <x:c r="I68" s="19" t="str">
        <x:f>IF(OR($C68="",$D68=""),"",($D68*$G68))</x:f>
      </x:c>
      <x:c r="J68" s="18"/>
      <x:c r="K68" s="19" t="str">
        <x:f>IF(OR($C68="",$D68=""),"",$I68-($D68*$H68))</x:f>
      </x:c>
      <x:c r="L68" s="18"/>
      <x:c r="M68" s="18"/>
    </x:row>
    <x:row r="69" ht="15" hidden="0" customHeight="1">
      <x:c r="A69" s="22"/>
      <x:c r="B69" s="18"/>
      <x:c r="C69" s="18"/>
      <x:c r="D69" s="18"/>
      <x:c r="E69" s="18" t="str">
        <x:f>IF($C69="","",XLOOKUP($C69,Products!$A$5:$A$34,Products!$B$5:$B$34,""))</x:f>
      </x:c>
      <x:c r="F69" s="18" t="str">
        <x:f>IF($C69="","",XLOOKUP($C69,Products!$A$5:$A$34,Products!$C$5:$C$34,""))</x:f>
      </x:c>
      <x:c r="G69" s="19" t="str">
        <x:f>IF($C69="","",XLOOKUP($C69,Products!$A$5:$A$34,Products!$F$5:$F$34,""))</x:f>
      </x:c>
      <x:c r="H69" s="19" t="str">
        <x:f>IF($C69="","",XLOOKUP($C69,Products!$A$5:$A$34,Products!$E$5:$E$34,""))</x:f>
      </x:c>
      <x:c r="I69" s="19" t="str">
        <x:f>IF(OR($C69="",$D69=""),"",($D69*$G69))</x:f>
      </x:c>
      <x:c r="J69" s="18"/>
      <x:c r="K69" s="19" t="str">
        <x:f>IF(OR($C69="",$D69=""),"",$I69-($D69*$H69))</x:f>
      </x:c>
      <x:c r="L69" s="18"/>
      <x:c r="M69" s="18"/>
    </x:row>
    <x:row r="70" ht="15" hidden="0" customHeight="1">
      <x:c r="A70" s="22"/>
      <x:c r="B70" s="18"/>
      <x:c r="C70" s="18"/>
      <x:c r="D70" s="18"/>
      <x:c r="E70" s="18" t="str">
        <x:f>IF($C70="","",XLOOKUP($C70,Products!$A$5:$A$34,Products!$B$5:$B$34,""))</x:f>
      </x:c>
      <x:c r="F70" s="18" t="str">
        <x:f>IF($C70="","",XLOOKUP($C70,Products!$A$5:$A$34,Products!$C$5:$C$34,""))</x:f>
      </x:c>
      <x:c r="G70" s="19" t="str">
        <x:f>IF($C70="","",XLOOKUP($C70,Products!$A$5:$A$34,Products!$F$5:$F$34,""))</x:f>
      </x:c>
      <x:c r="H70" s="19" t="str">
        <x:f>IF($C70="","",XLOOKUP($C70,Products!$A$5:$A$34,Products!$E$5:$E$34,""))</x:f>
      </x:c>
      <x:c r="I70" s="19" t="str">
        <x:f>IF(OR($C70="",$D70=""),"",($D70*$G70))</x:f>
      </x:c>
      <x:c r="J70" s="18"/>
      <x:c r="K70" s="19" t="str">
        <x:f>IF(OR($C70="",$D70=""),"",$I70-($D70*$H70))</x:f>
      </x:c>
      <x:c r="L70" s="18"/>
      <x:c r="M70" s="18"/>
    </x:row>
    <x:row r="71" ht="15" hidden="0" customHeight="1">
      <x:c r="A71" s="22"/>
      <x:c r="B71" s="18"/>
      <x:c r="C71" s="18"/>
      <x:c r="D71" s="18"/>
      <x:c r="E71" s="18" t="str">
        <x:f>IF($C71="","",XLOOKUP($C71,Products!$A$5:$A$34,Products!$B$5:$B$34,""))</x:f>
      </x:c>
      <x:c r="F71" s="18" t="str">
        <x:f>IF($C71="","",XLOOKUP($C71,Products!$A$5:$A$34,Products!$C$5:$C$34,""))</x:f>
      </x:c>
      <x:c r="G71" s="19" t="str">
        <x:f>IF($C71="","",XLOOKUP($C71,Products!$A$5:$A$34,Products!$F$5:$F$34,""))</x:f>
      </x:c>
      <x:c r="H71" s="19" t="str">
        <x:f>IF($C71="","",XLOOKUP($C71,Products!$A$5:$A$34,Products!$E$5:$E$34,""))</x:f>
      </x:c>
      <x:c r="I71" s="19" t="str">
        <x:f>IF(OR($C71="",$D71=""),"",($D71*$G71))</x:f>
      </x:c>
      <x:c r="J71" s="18"/>
      <x:c r="K71" s="19" t="str">
        <x:f>IF(OR($C71="",$D71=""),"",$I71-($D71*$H71))</x:f>
      </x:c>
      <x:c r="L71" s="18"/>
      <x:c r="M71" s="18"/>
    </x:row>
    <x:row r="72" ht="15" hidden="0" customHeight="1">
      <x:c r="A72" s="22"/>
      <x:c r="B72" s="18"/>
      <x:c r="C72" s="18"/>
      <x:c r="D72" s="18"/>
      <x:c r="E72" s="18" t="str">
        <x:f>IF($C72="","",XLOOKUP($C72,Products!$A$5:$A$34,Products!$B$5:$B$34,""))</x:f>
      </x:c>
      <x:c r="F72" s="18" t="str">
        <x:f>IF($C72="","",XLOOKUP($C72,Products!$A$5:$A$34,Products!$C$5:$C$34,""))</x:f>
      </x:c>
      <x:c r="G72" s="19" t="str">
        <x:f>IF($C72="","",XLOOKUP($C72,Products!$A$5:$A$34,Products!$F$5:$F$34,""))</x:f>
      </x:c>
      <x:c r="H72" s="19" t="str">
        <x:f>IF($C72="","",XLOOKUP($C72,Products!$A$5:$A$34,Products!$E$5:$E$34,""))</x:f>
      </x:c>
      <x:c r="I72" s="19" t="str">
        <x:f>IF(OR($C72="",$D72=""),"",($D72*$G72))</x:f>
      </x:c>
      <x:c r="J72" s="18"/>
      <x:c r="K72" s="19" t="str">
        <x:f>IF(OR($C72="",$D72=""),"",$I72-($D72*$H72))</x:f>
      </x:c>
      <x:c r="L72" s="18"/>
      <x:c r="M72" s="18"/>
    </x:row>
    <x:row r="73" ht="15" hidden="0" customHeight="1">
      <x:c r="A73" s="22"/>
      <x:c r="B73" s="18"/>
      <x:c r="C73" s="18"/>
      <x:c r="D73" s="18"/>
      <x:c r="E73" s="18" t="str">
        <x:f>IF($C73="","",XLOOKUP($C73,Products!$A$5:$A$34,Products!$B$5:$B$34,""))</x:f>
      </x:c>
      <x:c r="F73" s="18" t="str">
        <x:f>IF($C73="","",XLOOKUP($C73,Products!$A$5:$A$34,Products!$C$5:$C$34,""))</x:f>
      </x:c>
      <x:c r="G73" s="19" t="str">
        <x:f>IF($C73="","",XLOOKUP($C73,Products!$A$5:$A$34,Products!$F$5:$F$34,""))</x:f>
      </x:c>
      <x:c r="H73" s="19" t="str">
        <x:f>IF($C73="","",XLOOKUP($C73,Products!$A$5:$A$34,Products!$E$5:$E$34,""))</x:f>
      </x:c>
      <x:c r="I73" s="19" t="str">
        <x:f>IF(OR($C73="",$D73=""),"",($D73*$G73))</x:f>
      </x:c>
      <x:c r="J73" s="18"/>
      <x:c r="K73" s="19" t="str">
        <x:f>IF(OR($C73="",$D73=""),"",$I73-($D73*$H73))</x:f>
      </x:c>
      <x:c r="L73" s="18"/>
      <x:c r="M73" s="18"/>
    </x:row>
    <x:row r="74" ht="15" hidden="0" customHeight="1">
      <x:c r="A74" s="22"/>
      <x:c r="B74" s="18"/>
      <x:c r="C74" s="18"/>
      <x:c r="D74" s="18"/>
      <x:c r="E74" s="18" t="str">
        <x:f>IF($C74="","",XLOOKUP($C74,Products!$A$5:$A$34,Products!$B$5:$B$34,""))</x:f>
      </x:c>
      <x:c r="F74" s="18" t="str">
        <x:f>IF($C74="","",XLOOKUP($C74,Products!$A$5:$A$34,Products!$C$5:$C$34,""))</x:f>
      </x:c>
      <x:c r="G74" s="19" t="str">
        <x:f>IF($C74="","",XLOOKUP($C74,Products!$A$5:$A$34,Products!$F$5:$F$34,""))</x:f>
      </x:c>
      <x:c r="H74" s="19" t="str">
        <x:f>IF($C74="","",XLOOKUP($C74,Products!$A$5:$A$34,Products!$E$5:$E$34,""))</x:f>
      </x:c>
      <x:c r="I74" s="19" t="str">
        <x:f>IF(OR($C74="",$D74=""),"",($D74*$G74))</x:f>
      </x:c>
      <x:c r="J74" s="18"/>
      <x:c r="K74" s="19" t="str">
        <x:f>IF(OR($C74="",$D74=""),"",$I74-($D74*$H74))</x:f>
      </x:c>
      <x:c r="L74" s="18"/>
      <x:c r="M74" s="18"/>
    </x:row>
    <x:row r="75" ht="15" hidden="0" customHeight="1">
      <x:c r="A75" s="22"/>
      <x:c r="B75" s="18"/>
      <x:c r="C75" s="18"/>
      <x:c r="D75" s="18"/>
      <x:c r="E75" s="18" t="str">
        <x:f>IF($C75="","",XLOOKUP($C75,Products!$A$5:$A$34,Products!$B$5:$B$34,""))</x:f>
      </x:c>
      <x:c r="F75" s="18" t="str">
        <x:f>IF($C75="","",XLOOKUP($C75,Products!$A$5:$A$34,Products!$C$5:$C$34,""))</x:f>
      </x:c>
      <x:c r="G75" s="19" t="str">
        <x:f>IF($C75="","",XLOOKUP($C75,Products!$A$5:$A$34,Products!$F$5:$F$34,""))</x:f>
      </x:c>
      <x:c r="H75" s="19" t="str">
        <x:f>IF($C75="","",XLOOKUP($C75,Products!$A$5:$A$34,Products!$E$5:$E$34,""))</x:f>
      </x:c>
      <x:c r="I75" s="19" t="str">
        <x:f>IF(OR($C75="",$D75=""),"",($D75*$G75))</x:f>
      </x:c>
      <x:c r="J75" s="18"/>
      <x:c r="K75" s="19" t="str">
        <x:f>IF(OR($C75="",$D75=""),"",$I75-($D75*$H75))</x:f>
      </x:c>
      <x:c r="L75" s="18"/>
      <x:c r="M75" s="18"/>
    </x:row>
    <x:row r="76" ht="15" hidden="0" customHeight="1">
      <x:c r="A76" s="22"/>
      <x:c r="B76" s="18"/>
      <x:c r="C76" s="18"/>
      <x:c r="D76" s="18"/>
      <x:c r="E76" s="18" t="str">
        <x:f>IF($C76="","",XLOOKUP($C76,Products!$A$5:$A$34,Products!$B$5:$B$34,""))</x:f>
      </x:c>
      <x:c r="F76" s="18" t="str">
        <x:f>IF($C76="","",XLOOKUP($C76,Products!$A$5:$A$34,Products!$C$5:$C$34,""))</x:f>
      </x:c>
      <x:c r="G76" s="19" t="str">
        <x:f>IF($C76="","",XLOOKUP($C76,Products!$A$5:$A$34,Products!$F$5:$F$34,""))</x:f>
      </x:c>
      <x:c r="H76" s="19" t="str">
        <x:f>IF($C76="","",XLOOKUP($C76,Products!$A$5:$A$34,Products!$E$5:$E$34,""))</x:f>
      </x:c>
      <x:c r="I76" s="19" t="str">
        <x:f>IF(OR($C76="",$D76=""),"",($D76*$G76))</x:f>
      </x:c>
      <x:c r="J76" s="18"/>
      <x:c r="K76" s="19" t="str">
        <x:f>IF(OR($C76="",$D76=""),"",$I76-($D76*$H76))</x:f>
      </x:c>
      <x:c r="L76" s="18"/>
      <x:c r="M76" s="18"/>
    </x:row>
    <x:row r="77" ht="15" hidden="0" customHeight="1">
      <x:c r="A77" s="22"/>
      <x:c r="B77" s="18"/>
      <x:c r="C77" s="18"/>
      <x:c r="D77" s="18"/>
      <x:c r="E77" s="18" t="str">
        <x:f>IF($C77="","",XLOOKUP($C77,Products!$A$5:$A$34,Products!$B$5:$B$34,""))</x:f>
      </x:c>
      <x:c r="F77" s="18" t="str">
        <x:f>IF($C77="","",XLOOKUP($C77,Products!$A$5:$A$34,Products!$C$5:$C$34,""))</x:f>
      </x:c>
      <x:c r="G77" s="19" t="str">
        <x:f>IF($C77="","",XLOOKUP($C77,Products!$A$5:$A$34,Products!$F$5:$F$34,""))</x:f>
      </x:c>
      <x:c r="H77" s="19" t="str">
        <x:f>IF($C77="","",XLOOKUP($C77,Products!$A$5:$A$34,Products!$E$5:$E$34,""))</x:f>
      </x:c>
      <x:c r="I77" s="19" t="str">
        <x:f>IF(OR($C77="",$D77=""),"",($D77*$G77))</x:f>
      </x:c>
      <x:c r="J77" s="18"/>
      <x:c r="K77" s="19" t="str">
        <x:f>IF(OR($C77="",$D77=""),"",$I77-($D77*$H77))</x:f>
      </x:c>
      <x:c r="L77" s="18"/>
      <x:c r="M77" s="18"/>
    </x:row>
    <x:row r="78" ht="15" hidden="0" customHeight="1">
      <x:c r="A78" s="22"/>
      <x:c r="B78" s="18"/>
      <x:c r="C78" s="18"/>
      <x:c r="D78" s="18"/>
      <x:c r="E78" s="18" t="str">
        <x:f>IF($C78="","",XLOOKUP($C78,Products!$A$5:$A$34,Products!$B$5:$B$34,""))</x:f>
      </x:c>
      <x:c r="F78" s="18" t="str">
        <x:f>IF($C78="","",XLOOKUP($C78,Products!$A$5:$A$34,Products!$C$5:$C$34,""))</x:f>
      </x:c>
      <x:c r="G78" s="19" t="str">
        <x:f>IF($C78="","",XLOOKUP($C78,Products!$A$5:$A$34,Products!$F$5:$F$34,""))</x:f>
      </x:c>
      <x:c r="H78" s="19" t="str">
        <x:f>IF($C78="","",XLOOKUP($C78,Products!$A$5:$A$34,Products!$E$5:$E$34,""))</x:f>
      </x:c>
      <x:c r="I78" s="19" t="str">
        <x:f>IF(OR($C78="",$D78=""),"",($D78*$G78))</x:f>
      </x:c>
      <x:c r="J78" s="18"/>
      <x:c r="K78" s="19" t="str">
        <x:f>IF(OR($C78="",$D78=""),"",$I78-($D78*$H78))</x:f>
      </x:c>
      <x:c r="L78" s="18"/>
      <x:c r="M78" s="18"/>
    </x:row>
    <x:row r="79" ht="15" hidden="0" customHeight="1">
      <x:c r="A79" s="22"/>
      <x:c r="B79" s="18"/>
      <x:c r="C79" s="18"/>
      <x:c r="D79" s="18"/>
      <x:c r="E79" s="18" t="str">
        <x:f>IF($C79="","",XLOOKUP($C79,Products!$A$5:$A$34,Products!$B$5:$B$34,""))</x:f>
      </x:c>
      <x:c r="F79" s="18" t="str">
        <x:f>IF($C79="","",XLOOKUP($C79,Products!$A$5:$A$34,Products!$C$5:$C$34,""))</x:f>
      </x:c>
      <x:c r="G79" s="19" t="str">
        <x:f>IF($C79="","",XLOOKUP($C79,Products!$A$5:$A$34,Products!$F$5:$F$34,""))</x:f>
      </x:c>
      <x:c r="H79" s="19" t="str">
        <x:f>IF($C79="","",XLOOKUP($C79,Products!$A$5:$A$34,Products!$E$5:$E$34,""))</x:f>
      </x:c>
      <x:c r="I79" s="19" t="str">
        <x:f>IF(OR($C79="",$D79=""),"",($D79*$G79))</x:f>
      </x:c>
      <x:c r="J79" s="18"/>
      <x:c r="K79" s="19" t="str">
        <x:f>IF(OR($C79="",$D79=""),"",$I79-($D79*$H79))</x:f>
      </x:c>
      <x:c r="L79" s="18"/>
      <x:c r="M79" s="18"/>
    </x:row>
    <x:row r="80" ht="15" hidden="0" customHeight="1">
      <x:c r="A80" s="22"/>
      <x:c r="B80" s="18"/>
      <x:c r="C80" s="18"/>
      <x:c r="D80" s="18"/>
      <x:c r="E80" s="18" t="str">
        <x:f>IF($C80="","",XLOOKUP($C80,Products!$A$5:$A$34,Products!$B$5:$B$34,""))</x:f>
      </x:c>
      <x:c r="F80" s="18" t="str">
        <x:f>IF($C80="","",XLOOKUP($C80,Products!$A$5:$A$34,Products!$C$5:$C$34,""))</x:f>
      </x:c>
      <x:c r="G80" s="19" t="str">
        <x:f>IF($C80="","",XLOOKUP($C80,Products!$A$5:$A$34,Products!$F$5:$F$34,""))</x:f>
      </x:c>
      <x:c r="H80" s="19" t="str">
        <x:f>IF($C80="","",XLOOKUP($C80,Products!$A$5:$A$34,Products!$E$5:$E$34,""))</x:f>
      </x:c>
      <x:c r="I80" s="19" t="str">
        <x:f>IF(OR($C80="",$D80=""),"",($D80*$G80))</x:f>
      </x:c>
      <x:c r="J80" s="18"/>
      <x:c r="K80" s="19" t="str">
        <x:f>IF(OR($C80="",$D80=""),"",$I80-($D80*$H80))</x:f>
      </x:c>
      <x:c r="L80" s="18"/>
      <x:c r="M80" s="18"/>
    </x:row>
    <x:row r="81" ht="15" hidden="0" customHeight="1">
      <x:c r="A81" s="22"/>
      <x:c r="B81" s="18"/>
      <x:c r="C81" s="18"/>
      <x:c r="D81" s="18"/>
      <x:c r="E81" s="18" t="str">
        <x:f>IF($C81="","",XLOOKUP($C81,Products!$A$5:$A$34,Products!$B$5:$B$34,""))</x:f>
      </x:c>
      <x:c r="F81" s="18" t="str">
        <x:f>IF($C81="","",XLOOKUP($C81,Products!$A$5:$A$34,Products!$C$5:$C$34,""))</x:f>
      </x:c>
      <x:c r="G81" s="19" t="str">
        <x:f>IF($C81="","",XLOOKUP($C81,Products!$A$5:$A$34,Products!$F$5:$F$34,""))</x:f>
      </x:c>
      <x:c r="H81" s="19" t="str">
        <x:f>IF($C81="","",XLOOKUP($C81,Products!$A$5:$A$34,Products!$E$5:$E$34,""))</x:f>
      </x:c>
      <x:c r="I81" s="19" t="str">
        <x:f>IF(OR($C81="",$D81=""),"",($D81*$G81))</x:f>
      </x:c>
      <x:c r="J81" s="18"/>
      <x:c r="K81" s="19" t="str">
        <x:f>IF(OR($C81="",$D81=""),"",$I81-($D81*$H81))</x:f>
      </x:c>
      <x:c r="L81" s="18"/>
      <x:c r="M81" s="18"/>
    </x:row>
    <x:row r="82" ht="15" hidden="0" customHeight="1">
      <x:c r="A82" s="22"/>
      <x:c r="B82" s="18"/>
      <x:c r="C82" s="18"/>
      <x:c r="D82" s="18"/>
      <x:c r="E82" s="18" t="str">
        <x:f>IF($C82="","",XLOOKUP($C82,Products!$A$5:$A$34,Products!$B$5:$B$34,""))</x:f>
      </x:c>
      <x:c r="F82" s="18" t="str">
        <x:f>IF($C82="","",XLOOKUP($C82,Products!$A$5:$A$34,Products!$C$5:$C$34,""))</x:f>
      </x:c>
      <x:c r="G82" s="19" t="str">
        <x:f>IF($C82="","",XLOOKUP($C82,Products!$A$5:$A$34,Products!$F$5:$F$34,""))</x:f>
      </x:c>
      <x:c r="H82" s="19" t="str">
        <x:f>IF($C82="","",XLOOKUP($C82,Products!$A$5:$A$34,Products!$E$5:$E$34,""))</x:f>
      </x:c>
      <x:c r="I82" s="19" t="str">
        <x:f>IF(OR($C82="",$D82=""),"",($D82*$G82))</x:f>
      </x:c>
      <x:c r="J82" s="18"/>
      <x:c r="K82" s="19" t="str">
        <x:f>IF(OR($C82="",$D82=""),"",$I82-($D82*$H82))</x:f>
      </x:c>
      <x:c r="L82" s="18"/>
      <x:c r="M82" s="18"/>
    </x:row>
    <x:row r="83" ht="15" hidden="0" customHeight="1">
      <x:c r="A83" s="22"/>
      <x:c r="B83" s="18"/>
      <x:c r="C83" s="18"/>
      <x:c r="D83" s="18"/>
      <x:c r="E83" s="18" t="str">
        <x:f>IF($C83="","",XLOOKUP($C83,Products!$A$5:$A$34,Products!$B$5:$B$34,""))</x:f>
      </x:c>
      <x:c r="F83" s="18" t="str">
        <x:f>IF($C83="","",XLOOKUP($C83,Products!$A$5:$A$34,Products!$C$5:$C$34,""))</x:f>
      </x:c>
      <x:c r="G83" s="19" t="str">
        <x:f>IF($C83="","",XLOOKUP($C83,Products!$A$5:$A$34,Products!$F$5:$F$34,""))</x:f>
      </x:c>
      <x:c r="H83" s="19" t="str">
        <x:f>IF($C83="","",XLOOKUP($C83,Products!$A$5:$A$34,Products!$E$5:$E$34,""))</x:f>
      </x:c>
      <x:c r="I83" s="19" t="str">
        <x:f>IF(OR($C83="",$D83=""),"",($D83*$G83))</x:f>
      </x:c>
      <x:c r="J83" s="18"/>
      <x:c r="K83" s="19" t="str">
        <x:f>IF(OR($C83="",$D83=""),"",$I83-($D83*$H83))</x:f>
      </x:c>
      <x:c r="L83" s="18"/>
      <x:c r="M83" s="18"/>
    </x:row>
    <x:row r="84" ht="15" hidden="0" customHeight="1">
      <x:c r="A84" s="22"/>
      <x:c r="B84" s="18"/>
      <x:c r="C84" s="18"/>
      <x:c r="D84" s="18"/>
      <x:c r="E84" s="18" t="str">
        <x:f>IF($C84="","",XLOOKUP($C84,Products!$A$5:$A$34,Products!$B$5:$B$34,""))</x:f>
      </x:c>
      <x:c r="F84" s="18" t="str">
        <x:f>IF($C84="","",XLOOKUP($C84,Products!$A$5:$A$34,Products!$C$5:$C$34,""))</x:f>
      </x:c>
      <x:c r="G84" s="19" t="str">
        <x:f>IF($C84="","",XLOOKUP($C84,Products!$A$5:$A$34,Products!$F$5:$F$34,""))</x:f>
      </x:c>
      <x:c r="H84" s="19" t="str">
        <x:f>IF($C84="","",XLOOKUP($C84,Products!$A$5:$A$34,Products!$E$5:$E$34,""))</x:f>
      </x:c>
      <x:c r="I84" s="19" t="str">
        <x:f>IF(OR($C84="",$D84=""),"",($D84*$G84))</x:f>
      </x:c>
      <x:c r="J84" s="18"/>
      <x:c r="K84" s="19" t="str">
        <x:f>IF(OR($C84="",$D84=""),"",$I84-($D84*$H84))</x:f>
      </x:c>
      <x:c r="L84" s="18"/>
      <x:c r="M84" s="18"/>
    </x:row>
    <x:row r="85" ht="15" hidden="0" customHeight="1">
      <x:c r="A85" s="22"/>
      <x:c r="B85" s="18"/>
      <x:c r="C85" s="18"/>
      <x:c r="D85" s="18"/>
      <x:c r="E85" s="18" t="str">
        <x:f>IF($C85="","",XLOOKUP($C85,Products!$A$5:$A$34,Products!$B$5:$B$34,""))</x:f>
      </x:c>
      <x:c r="F85" s="18" t="str">
        <x:f>IF($C85="","",XLOOKUP($C85,Products!$A$5:$A$34,Products!$C$5:$C$34,""))</x:f>
      </x:c>
      <x:c r="G85" s="19" t="str">
        <x:f>IF($C85="","",XLOOKUP($C85,Products!$A$5:$A$34,Products!$F$5:$F$34,""))</x:f>
      </x:c>
      <x:c r="H85" s="19" t="str">
        <x:f>IF($C85="","",XLOOKUP($C85,Products!$A$5:$A$34,Products!$E$5:$E$34,""))</x:f>
      </x:c>
      <x:c r="I85" s="19" t="str">
        <x:f>IF(OR($C85="",$D85=""),"",($D85*$G85))</x:f>
      </x:c>
      <x:c r="J85" s="18"/>
      <x:c r="K85" s="19" t="str">
        <x:f>IF(OR($C85="",$D85=""),"",$I85-($D85*$H85))</x:f>
      </x:c>
      <x:c r="L85" s="18"/>
      <x:c r="M85" s="18"/>
    </x:row>
    <x:row r="86" ht="15" hidden="0" customHeight="1">
      <x:c r="A86" s="22"/>
      <x:c r="B86" s="18"/>
      <x:c r="C86" s="18"/>
      <x:c r="D86" s="18"/>
      <x:c r="E86" s="18" t="str">
        <x:f>IF($C86="","",XLOOKUP($C86,Products!$A$5:$A$34,Products!$B$5:$B$34,""))</x:f>
      </x:c>
      <x:c r="F86" s="18" t="str">
        <x:f>IF($C86="","",XLOOKUP($C86,Products!$A$5:$A$34,Products!$C$5:$C$34,""))</x:f>
      </x:c>
      <x:c r="G86" s="19" t="str">
        <x:f>IF($C86="","",XLOOKUP($C86,Products!$A$5:$A$34,Products!$F$5:$F$34,""))</x:f>
      </x:c>
      <x:c r="H86" s="19" t="str">
        <x:f>IF($C86="","",XLOOKUP($C86,Products!$A$5:$A$34,Products!$E$5:$E$34,""))</x:f>
      </x:c>
      <x:c r="I86" s="19" t="str">
        <x:f>IF(OR($C86="",$D86=""),"",($D86*$G86))</x:f>
      </x:c>
      <x:c r="J86" s="18"/>
      <x:c r="K86" s="19" t="str">
        <x:f>IF(OR($C86="",$D86=""),"",$I86-($D86*$H86))</x:f>
      </x:c>
      <x:c r="L86" s="18"/>
      <x:c r="M86" s="18"/>
    </x:row>
    <x:row r="87" ht="15" hidden="0" customHeight="1">
      <x:c r="A87" s="22"/>
      <x:c r="B87" s="18"/>
      <x:c r="C87" s="18"/>
      <x:c r="D87" s="18"/>
      <x:c r="E87" s="18" t="str">
        <x:f>IF($C87="","",XLOOKUP($C87,Products!$A$5:$A$34,Products!$B$5:$B$34,""))</x:f>
      </x:c>
      <x:c r="F87" s="18" t="str">
        <x:f>IF($C87="","",XLOOKUP($C87,Products!$A$5:$A$34,Products!$C$5:$C$34,""))</x:f>
      </x:c>
      <x:c r="G87" s="19" t="str">
        <x:f>IF($C87="","",XLOOKUP($C87,Products!$A$5:$A$34,Products!$F$5:$F$34,""))</x:f>
      </x:c>
      <x:c r="H87" s="19" t="str">
        <x:f>IF($C87="","",XLOOKUP($C87,Products!$A$5:$A$34,Products!$E$5:$E$34,""))</x:f>
      </x:c>
      <x:c r="I87" s="19" t="str">
        <x:f>IF(OR($C87="",$D87=""),"",($D87*$G87))</x:f>
      </x:c>
      <x:c r="J87" s="18"/>
      <x:c r="K87" s="19" t="str">
        <x:f>IF(OR($C87="",$D87=""),"",$I87-($D87*$H87))</x:f>
      </x:c>
      <x:c r="L87" s="18"/>
      <x:c r="M87" s="18"/>
    </x:row>
    <x:row r="88" ht="15" hidden="0" customHeight="1">
      <x:c r="A88" s="22"/>
      <x:c r="B88" s="18"/>
      <x:c r="C88" s="18"/>
      <x:c r="D88" s="18"/>
      <x:c r="E88" s="18" t="str">
        <x:f>IF($C88="","",XLOOKUP($C88,Products!$A$5:$A$34,Products!$B$5:$B$34,""))</x:f>
      </x:c>
      <x:c r="F88" s="18" t="str">
        <x:f>IF($C88="","",XLOOKUP($C88,Products!$A$5:$A$34,Products!$C$5:$C$34,""))</x:f>
      </x:c>
      <x:c r="G88" s="19" t="str">
        <x:f>IF($C88="","",XLOOKUP($C88,Products!$A$5:$A$34,Products!$F$5:$F$34,""))</x:f>
      </x:c>
      <x:c r="H88" s="19" t="str">
        <x:f>IF($C88="","",XLOOKUP($C88,Products!$A$5:$A$34,Products!$E$5:$E$34,""))</x:f>
      </x:c>
      <x:c r="I88" s="19" t="str">
        <x:f>IF(OR($C88="",$D88=""),"",($D88*$G88))</x:f>
      </x:c>
      <x:c r="J88" s="18"/>
      <x:c r="K88" s="19" t="str">
        <x:f>IF(OR($C88="",$D88=""),"",$I88-($D88*$H88))</x:f>
      </x:c>
      <x:c r="L88" s="18"/>
      <x:c r="M88" s="18"/>
    </x:row>
    <x:row r="89" ht="15" hidden="0" customHeight="1">
      <x:c r="A89" s="22"/>
      <x:c r="B89" s="18"/>
      <x:c r="C89" s="18"/>
      <x:c r="D89" s="18"/>
      <x:c r="E89" s="18" t="str">
        <x:f>IF($C89="","",XLOOKUP($C89,Products!$A$5:$A$34,Products!$B$5:$B$34,""))</x:f>
      </x:c>
      <x:c r="F89" s="18" t="str">
        <x:f>IF($C89="","",XLOOKUP($C89,Products!$A$5:$A$34,Products!$C$5:$C$34,""))</x:f>
      </x:c>
      <x:c r="G89" s="19" t="str">
        <x:f>IF($C89="","",XLOOKUP($C89,Products!$A$5:$A$34,Products!$F$5:$F$34,""))</x:f>
      </x:c>
      <x:c r="H89" s="19" t="str">
        <x:f>IF($C89="","",XLOOKUP($C89,Products!$A$5:$A$34,Products!$E$5:$E$34,""))</x:f>
      </x:c>
      <x:c r="I89" s="19" t="str">
        <x:f>IF(OR($C89="",$D89=""),"",($D89*$G89))</x:f>
      </x:c>
      <x:c r="J89" s="18"/>
      <x:c r="K89" s="19" t="str">
        <x:f>IF(OR($C89="",$D89=""),"",$I89-($D89*$H89))</x:f>
      </x:c>
      <x:c r="L89" s="18"/>
      <x:c r="M89" s="18"/>
    </x:row>
    <x:row r="90" ht="15" hidden="0" customHeight="1">
      <x:c r="A90" s="22"/>
      <x:c r="B90" s="18"/>
      <x:c r="C90" s="18"/>
      <x:c r="D90" s="18"/>
      <x:c r="E90" s="18" t="str">
        <x:f>IF($C90="","",XLOOKUP($C90,Products!$A$5:$A$34,Products!$B$5:$B$34,""))</x:f>
      </x:c>
      <x:c r="F90" s="18" t="str">
        <x:f>IF($C90="","",XLOOKUP($C90,Products!$A$5:$A$34,Products!$C$5:$C$34,""))</x:f>
      </x:c>
      <x:c r="G90" s="19" t="str">
        <x:f>IF($C90="","",XLOOKUP($C90,Products!$A$5:$A$34,Products!$F$5:$F$34,""))</x:f>
      </x:c>
      <x:c r="H90" s="19" t="str">
        <x:f>IF($C90="","",XLOOKUP($C90,Products!$A$5:$A$34,Products!$E$5:$E$34,""))</x:f>
      </x:c>
      <x:c r="I90" s="19" t="str">
        <x:f>IF(OR($C90="",$D90=""),"",($D90*$G90))</x:f>
      </x:c>
      <x:c r="J90" s="18"/>
      <x:c r="K90" s="19" t="str">
        <x:f>IF(OR($C90="",$D90=""),"",$I90-($D90*$H90))</x:f>
      </x:c>
      <x:c r="L90" s="18"/>
      <x:c r="M90" s="18"/>
    </x:row>
    <x:row r="91" ht="15" hidden="0" customHeight="1">
      <x:c r="A91" s="22"/>
      <x:c r="B91" s="18"/>
      <x:c r="C91" s="18"/>
      <x:c r="D91" s="18"/>
      <x:c r="E91" s="18" t="str">
        <x:f>IF($C91="","",XLOOKUP($C91,Products!$A$5:$A$34,Products!$B$5:$B$34,""))</x:f>
      </x:c>
      <x:c r="F91" s="18" t="str">
        <x:f>IF($C91="","",XLOOKUP($C91,Products!$A$5:$A$34,Products!$C$5:$C$34,""))</x:f>
      </x:c>
      <x:c r="G91" s="19" t="str">
        <x:f>IF($C91="","",XLOOKUP($C91,Products!$A$5:$A$34,Products!$F$5:$F$34,""))</x:f>
      </x:c>
      <x:c r="H91" s="19" t="str">
        <x:f>IF($C91="","",XLOOKUP($C91,Products!$A$5:$A$34,Products!$E$5:$E$34,""))</x:f>
      </x:c>
      <x:c r="I91" s="19" t="str">
        <x:f>IF(OR($C91="",$D91=""),"",($D91*$G91))</x:f>
      </x:c>
      <x:c r="J91" s="18"/>
      <x:c r="K91" s="19" t="str">
        <x:f>IF(OR($C91="",$D91=""),"",$I91-($D91*$H91))</x:f>
      </x:c>
      <x:c r="L91" s="18"/>
      <x:c r="M91" s="18"/>
    </x:row>
    <x:row r="92" ht="15" hidden="0" customHeight="1">
      <x:c r="A92" s="22"/>
      <x:c r="B92" s="18"/>
      <x:c r="C92" s="18"/>
      <x:c r="D92" s="18"/>
      <x:c r="E92" s="18" t="str">
        <x:f>IF($C92="","",XLOOKUP($C92,Products!$A$5:$A$34,Products!$B$5:$B$34,""))</x:f>
      </x:c>
      <x:c r="F92" s="18" t="str">
        <x:f>IF($C92="","",XLOOKUP($C92,Products!$A$5:$A$34,Products!$C$5:$C$34,""))</x:f>
      </x:c>
      <x:c r="G92" s="19" t="str">
        <x:f>IF($C92="","",XLOOKUP($C92,Products!$A$5:$A$34,Products!$F$5:$F$34,""))</x:f>
      </x:c>
      <x:c r="H92" s="19" t="str">
        <x:f>IF($C92="","",XLOOKUP($C92,Products!$A$5:$A$34,Products!$E$5:$E$34,""))</x:f>
      </x:c>
      <x:c r="I92" s="19" t="str">
        <x:f>IF(OR($C92="",$D92=""),"",($D92*$G92))</x:f>
      </x:c>
      <x:c r="J92" s="18"/>
      <x:c r="K92" s="19" t="str">
        <x:f>IF(OR($C92="",$D92=""),"",$I92-($D92*$H92))</x:f>
      </x:c>
      <x:c r="L92" s="18"/>
      <x:c r="M92" s="18"/>
    </x:row>
    <x:row r="93" ht="15" hidden="0" customHeight="1">
      <x:c r="A93" s="22"/>
      <x:c r="B93" s="18"/>
      <x:c r="C93" s="18"/>
      <x:c r="D93" s="18"/>
      <x:c r="E93" s="18" t="str">
        <x:f>IF($C93="","",XLOOKUP($C93,Products!$A$5:$A$34,Products!$B$5:$B$34,""))</x:f>
      </x:c>
      <x:c r="F93" s="18" t="str">
        <x:f>IF($C93="","",XLOOKUP($C93,Products!$A$5:$A$34,Products!$C$5:$C$34,""))</x:f>
      </x:c>
      <x:c r="G93" s="19" t="str">
        <x:f>IF($C93="","",XLOOKUP($C93,Products!$A$5:$A$34,Products!$F$5:$F$34,""))</x:f>
      </x:c>
      <x:c r="H93" s="19" t="str">
        <x:f>IF($C93="","",XLOOKUP($C93,Products!$A$5:$A$34,Products!$E$5:$E$34,""))</x:f>
      </x:c>
      <x:c r="I93" s="19" t="str">
        <x:f>IF(OR($C93="",$D93=""),"",($D93*$G93))</x:f>
      </x:c>
      <x:c r="J93" s="18"/>
      <x:c r="K93" s="19" t="str">
        <x:f>IF(OR($C93="",$D93=""),"",$I93-($D93*$H93))</x:f>
      </x:c>
      <x:c r="L93" s="18"/>
      <x:c r="M93" s="18"/>
    </x:row>
    <x:row r="94" ht="15" hidden="0" customHeight="1">
      <x:c r="A94" s="22"/>
      <x:c r="B94" s="18"/>
      <x:c r="C94" s="18"/>
      <x:c r="D94" s="18"/>
      <x:c r="E94" s="18" t="str">
        <x:f>IF($C94="","",XLOOKUP($C94,Products!$A$5:$A$34,Products!$B$5:$B$34,""))</x:f>
      </x:c>
      <x:c r="F94" s="18" t="str">
        <x:f>IF($C94="","",XLOOKUP($C94,Products!$A$5:$A$34,Products!$C$5:$C$34,""))</x:f>
      </x:c>
      <x:c r="G94" s="19" t="str">
        <x:f>IF($C94="","",XLOOKUP($C94,Products!$A$5:$A$34,Products!$F$5:$F$34,""))</x:f>
      </x:c>
      <x:c r="H94" s="19" t="str">
        <x:f>IF($C94="","",XLOOKUP($C94,Products!$A$5:$A$34,Products!$E$5:$E$34,""))</x:f>
      </x:c>
      <x:c r="I94" s="19" t="str">
        <x:f>IF(OR($C94="",$D94=""),"",($D94*$G94))</x:f>
      </x:c>
      <x:c r="J94" s="18"/>
      <x:c r="K94" s="19" t="str">
        <x:f>IF(OR($C94="",$D94=""),"",$I94-($D94*$H94))</x:f>
      </x:c>
      <x:c r="L94" s="18"/>
      <x:c r="M94" s="18"/>
    </x:row>
    <x:row r="95" ht="15" hidden="0" customHeight="1">
      <x:c r="A95" s="22"/>
      <x:c r="B95" s="18"/>
      <x:c r="C95" s="18"/>
      <x:c r="D95" s="18"/>
      <x:c r="E95" s="18" t="str">
        <x:f>IF($C95="","",XLOOKUP($C95,Products!$A$5:$A$34,Products!$B$5:$B$34,""))</x:f>
      </x:c>
      <x:c r="F95" s="18" t="str">
        <x:f>IF($C95="","",XLOOKUP($C95,Products!$A$5:$A$34,Products!$C$5:$C$34,""))</x:f>
      </x:c>
      <x:c r="G95" s="19" t="str">
        <x:f>IF($C95="","",XLOOKUP($C95,Products!$A$5:$A$34,Products!$F$5:$F$34,""))</x:f>
      </x:c>
      <x:c r="H95" s="19" t="str">
        <x:f>IF($C95="","",XLOOKUP($C95,Products!$A$5:$A$34,Products!$E$5:$E$34,""))</x:f>
      </x:c>
      <x:c r="I95" s="19" t="str">
        <x:f>IF(OR($C95="",$D95=""),"",($D95*$G95))</x:f>
      </x:c>
      <x:c r="J95" s="18"/>
      <x:c r="K95" s="19" t="str">
        <x:f>IF(OR($C95="",$D95=""),"",$I95-($D95*$H95))</x:f>
      </x:c>
      <x:c r="L95" s="18"/>
      <x:c r="M95" s="18"/>
    </x:row>
    <x:row r="96" ht="15" hidden="0" customHeight="1">
      <x:c r="A96" s="22"/>
      <x:c r="B96" s="18"/>
      <x:c r="C96" s="18"/>
      <x:c r="D96" s="18"/>
      <x:c r="E96" s="18" t="str">
        <x:f>IF($C96="","",XLOOKUP($C96,Products!$A$5:$A$34,Products!$B$5:$B$34,""))</x:f>
      </x:c>
      <x:c r="F96" s="18" t="str">
        <x:f>IF($C96="","",XLOOKUP($C96,Products!$A$5:$A$34,Products!$C$5:$C$34,""))</x:f>
      </x:c>
      <x:c r="G96" s="19" t="str">
        <x:f>IF($C96="","",XLOOKUP($C96,Products!$A$5:$A$34,Products!$F$5:$F$34,""))</x:f>
      </x:c>
      <x:c r="H96" s="19" t="str">
        <x:f>IF($C96="","",XLOOKUP($C96,Products!$A$5:$A$34,Products!$E$5:$E$34,""))</x:f>
      </x:c>
      <x:c r="I96" s="19" t="str">
        <x:f>IF(OR($C96="",$D96=""),"",($D96*$G96))</x:f>
      </x:c>
      <x:c r="J96" s="18"/>
      <x:c r="K96" s="19" t="str">
        <x:f>IF(OR($C96="",$D96=""),"",$I96-($D96*$H96))</x:f>
      </x:c>
      <x:c r="L96" s="18"/>
      <x:c r="M96" s="18"/>
    </x:row>
    <x:row r="97" ht="15" hidden="0" customHeight="1">
      <x:c r="A97" s="22"/>
      <x:c r="B97" s="18"/>
      <x:c r="C97" s="18"/>
      <x:c r="D97" s="18"/>
      <x:c r="E97" s="18" t="str">
        <x:f>IF($C97="","",XLOOKUP($C97,Products!$A$5:$A$34,Products!$B$5:$B$34,""))</x:f>
      </x:c>
      <x:c r="F97" s="18" t="str">
        <x:f>IF($C97="","",XLOOKUP($C97,Products!$A$5:$A$34,Products!$C$5:$C$34,""))</x:f>
      </x:c>
      <x:c r="G97" s="19" t="str">
        <x:f>IF($C97="","",XLOOKUP($C97,Products!$A$5:$A$34,Products!$F$5:$F$34,""))</x:f>
      </x:c>
      <x:c r="H97" s="19" t="str">
        <x:f>IF($C97="","",XLOOKUP($C97,Products!$A$5:$A$34,Products!$E$5:$E$34,""))</x:f>
      </x:c>
      <x:c r="I97" s="19" t="str">
        <x:f>IF(OR($C97="",$D97=""),"",($D97*$G97))</x:f>
      </x:c>
      <x:c r="J97" s="18"/>
      <x:c r="K97" s="19" t="str">
        <x:f>IF(OR($C97="",$D97=""),"",$I97-($D97*$H97))</x:f>
      </x:c>
      <x:c r="L97" s="18"/>
      <x:c r="M97" s="18"/>
    </x:row>
    <x:row r="98" ht="15" hidden="0" customHeight="1">
      <x:c r="A98" s="22"/>
      <x:c r="B98" s="18"/>
      <x:c r="C98" s="18"/>
      <x:c r="D98" s="18"/>
      <x:c r="E98" s="18" t="str">
        <x:f>IF($C98="","",XLOOKUP($C98,Products!$A$5:$A$34,Products!$B$5:$B$34,""))</x:f>
      </x:c>
      <x:c r="F98" s="18" t="str">
        <x:f>IF($C98="","",XLOOKUP($C98,Products!$A$5:$A$34,Products!$C$5:$C$34,""))</x:f>
      </x:c>
      <x:c r="G98" s="19" t="str">
        <x:f>IF($C98="","",XLOOKUP($C98,Products!$A$5:$A$34,Products!$F$5:$F$34,""))</x:f>
      </x:c>
      <x:c r="H98" s="19" t="str">
        <x:f>IF($C98="","",XLOOKUP($C98,Products!$A$5:$A$34,Products!$E$5:$E$34,""))</x:f>
      </x:c>
      <x:c r="I98" s="19" t="str">
        <x:f>IF(OR($C98="",$D98=""),"",($D98*$G98))</x:f>
      </x:c>
      <x:c r="J98" s="18"/>
      <x:c r="K98" s="19" t="str">
        <x:f>IF(OR($C98="",$D98=""),"",$I98-($D98*$H98))</x:f>
      </x:c>
      <x:c r="L98" s="18"/>
      <x:c r="M98" s="18"/>
    </x:row>
    <x:row r="99" ht="15" hidden="0" customHeight="1">
      <x:c r="A99" s="22"/>
      <x:c r="B99" s="18"/>
      <x:c r="C99" s="18"/>
      <x:c r="D99" s="18"/>
      <x:c r="E99" s="18" t="str">
        <x:f>IF($C99="","",XLOOKUP($C99,Products!$A$5:$A$34,Products!$B$5:$B$34,""))</x:f>
      </x:c>
      <x:c r="F99" s="18" t="str">
        <x:f>IF($C99="","",XLOOKUP($C99,Products!$A$5:$A$34,Products!$C$5:$C$34,""))</x:f>
      </x:c>
      <x:c r="G99" s="19" t="str">
        <x:f>IF($C99="","",XLOOKUP($C99,Products!$A$5:$A$34,Products!$F$5:$F$34,""))</x:f>
      </x:c>
      <x:c r="H99" s="19" t="str">
        <x:f>IF($C99="","",XLOOKUP($C99,Products!$A$5:$A$34,Products!$E$5:$E$34,""))</x:f>
      </x:c>
      <x:c r="I99" s="19" t="str">
        <x:f>IF(OR($C99="",$D99=""),"",($D99*$G99))</x:f>
      </x:c>
      <x:c r="J99" s="18"/>
      <x:c r="K99" s="19" t="str">
        <x:f>IF(OR($C99="",$D99=""),"",$I99-($D99*$H99))</x:f>
      </x:c>
      <x:c r="L99" s="18"/>
      <x:c r="M99" s="18"/>
    </x:row>
    <x:row r="100" ht="15" hidden="0" customHeight="1">
      <x:c r="A100" s="22"/>
      <x:c r="B100" s="18"/>
      <x:c r="C100" s="18"/>
      <x:c r="D100" s="18"/>
      <x:c r="E100" s="18" t="str">
        <x:f>IF($C100="","",XLOOKUP($C100,Products!$A$5:$A$34,Products!$B$5:$B$34,""))</x:f>
      </x:c>
      <x:c r="F100" s="18" t="str">
        <x:f>IF($C100="","",XLOOKUP($C100,Products!$A$5:$A$34,Products!$C$5:$C$34,""))</x:f>
      </x:c>
      <x:c r="G100" s="19" t="str">
        <x:f>IF($C100="","",XLOOKUP($C100,Products!$A$5:$A$34,Products!$F$5:$F$34,""))</x:f>
      </x:c>
      <x:c r="H100" s="19" t="str">
        <x:f>IF($C100="","",XLOOKUP($C100,Products!$A$5:$A$34,Products!$E$5:$E$34,""))</x:f>
      </x:c>
      <x:c r="I100" s="19" t="str">
        <x:f>IF(OR($C100="",$D100=""),"",($D100*$G100))</x:f>
      </x:c>
      <x:c r="J100" s="18"/>
      <x:c r="K100" s="19" t="str">
        <x:f>IF(OR($C100="",$D100=""),"",$I100-($D100*$H100))</x:f>
      </x:c>
      <x:c r="L100" s="18"/>
      <x:c r="M100" s="18"/>
    </x:row>
    <x:row r="101" ht="15" hidden="0" customHeight="1">
      <x:c r="A101" s="22"/>
      <x:c r="B101" s="18"/>
      <x:c r="C101" s="18"/>
      <x:c r="D101" s="18"/>
      <x:c r="E101" s="18" t="str">
        <x:f>IF($C101="","",XLOOKUP($C101,Products!$A$5:$A$34,Products!$B$5:$B$34,""))</x:f>
      </x:c>
      <x:c r="F101" s="18" t="str">
        <x:f>IF($C101="","",XLOOKUP($C101,Products!$A$5:$A$34,Products!$C$5:$C$34,""))</x:f>
      </x:c>
      <x:c r="G101" s="19" t="str">
        <x:f>IF($C101="","",XLOOKUP($C101,Products!$A$5:$A$34,Products!$F$5:$F$34,""))</x:f>
      </x:c>
      <x:c r="H101" s="19" t="str">
        <x:f>IF($C101="","",XLOOKUP($C101,Products!$A$5:$A$34,Products!$E$5:$E$34,""))</x:f>
      </x:c>
      <x:c r="I101" s="19" t="str">
        <x:f>IF(OR($C101="",$D101=""),"",($D101*$G101))</x:f>
      </x:c>
      <x:c r="J101" s="18"/>
      <x:c r="K101" s="19" t="str">
        <x:f>IF(OR($C101="",$D101=""),"",$I101-($D101*$H101))</x:f>
      </x:c>
      <x:c r="L101" s="18"/>
      <x:c r="M101" s="18"/>
    </x:row>
    <x:row r="102" ht="15" hidden="0" customHeight="1">
      <x:c r="A102" s="22"/>
      <x:c r="B102" s="18"/>
      <x:c r="C102" s="18"/>
      <x:c r="D102" s="18"/>
      <x:c r="E102" s="18" t="str">
        <x:f>IF($C102="","",XLOOKUP($C102,Products!$A$5:$A$34,Products!$B$5:$B$34,""))</x:f>
      </x:c>
      <x:c r="F102" s="18" t="str">
        <x:f>IF($C102="","",XLOOKUP($C102,Products!$A$5:$A$34,Products!$C$5:$C$34,""))</x:f>
      </x:c>
      <x:c r="G102" s="19" t="str">
        <x:f>IF($C102="","",XLOOKUP($C102,Products!$A$5:$A$34,Products!$F$5:$F$34,""))</x:f>
      </x:c>
      <x:c r="H102" s="19" t="str">
        <x:f>IF($C102="","",XLOOKUP($C102,Products!$A$5:$A$34,Products!$E$5:$E$34,""))</x:f>
      </x:c>
      <x:c r="I102" s="19" t="str">
        <x:f>IF(OR($C102="",$D102=""),"",($D102*$G102))</x:f>
      </x:c>
      <x:c r="J102" s="18"/>
      <x:c r="K102" s="19" t="str">
        <x:f>IF(OR($C102="",$D102=""),"",$I102-($D102*$H102))</x:f>
      </x:c>
      <x:c r="L102" s="18"/>
      <x:c r="M102" s="18"/>
    </x:row>
    <x:row r="103" ht="15" hidden="0" customHeight="1">
      <x:c r="A103" s="22"/>
      <x:c r="B103" s="18"/>
      <x:c r="C103" s="18"/>
      <x:c r="D103" s="18"/>
      <x:c r="E103" s="18" t="str">
        <x:f>IF($C103="","",XLOOKUP($C103,Products!$A$5:$A$34,Products!$B$5:$B$34,""))</x:f>
      </x:c>
      <x:c r="F103" s="18" t="str">
        <x:f>IF($C103="","",XLOOKUP($C103,Products!$A$5:$A$34,Products!$C$5:$C$34,""))</x:f>
      </x:c>
      <x:c r="G103" s="19" t="str">
        <x:f>IF($C103="","",XLOOKUP($C103,Products!$A$5:$A$34,Products!$F$5:$F$34,""))</x:f>
      </x:c>
      <x:c r="H103" s="19" t="str">
        <x:f>IF($C103="","",XLOOKUP($C103,Products!$A$5:$A$34,Products!$E$5:$E$34,""))</x:f>
      </x:c>
      <x:c r="I103" s="19" t="str">
        <x:f>IF(OR($C103="",$D103=""),"",($D103*$G103))</x:f>
      </x:c>
      <x:c r="J103" s="18"/>
      <x:c r="K103" s="19" t="str">
        <x:f>IF(OR($C103="",$D103=""),"",$I103-($D103*$H103))</x:f>
      </x:c>
      <x:c r="L103" s="18"/>
      <x:c r="M103" s="18"/>
    </x:row>
    <x:row r="104" ht="15" hidden="0" customHeight="1">
      <x:c r="A104" s="22"/>
      <x:c r="B104" s="18"/>
      <x:c r="C104" s="18"/>
      <x:c r="D104" s="18"/>
      <x:c r="E104" s="18" t="str">
        <x:f>IF($C104="","",XLOOKUP($C104,Products!$A$5:$A$34,Products!$B$5:$B$34,""))</x:f>
      </x:c>
      <x:c r="F104" s="18" t="str">
        <x:f>IF($C104="","",XLOOKUP($C104,Products!$A$5:$A$34,Products!$C$5:$C$34,""))</x:f>
      </x:c>
      <x:c r="G104" s="19" t="str">
        <x:f>IF($C104="","",XLOOKUP($C104,Products!$A$5:$A$34,Products!$F$5:$F$34,""))</x:f>
      </x:c>
      <x:c r="H104" s="19" t="str">
        <x:f>IF($C104="","",XLOOKUP($C104,Products!$A$5:$A$34,Products!$E$5:$E$34,""))</x:f>
      </x:c>
      <x:c r="I104" s="19" t="str">
        <x:f>IF(OR($C104="",$D104=""),"",($D104*$G104))</x:f>
      </x:c>
      <x:c r="J104" s="18"/>
      <x:c r="K104" s="19" t="str">
        <x:f>IF(OR($C104="",$D104=""),"",$I104-($D104*$H104))</x:f>
      </x:c>
      <x:c r="L104" s="18"/>
      <x:c r="M104" s="18"/>
    </x:row>
    <x:row r="105" ht="15" hidden="0" customHeight="1">
      <x:c r="A105" s="22"/>
      <x:c r="B105" s="18"/>
      <x:c r="C105" s="18"/>
      <x:c r="D105" s="18"/>
      <x:c r="E105" s="18" t="str">
        <x:f>IF($C105="","",XLOOKUP($C105,Products!$A$5:$A$34,Products!$B$5:$B$34,""))</x:f>
      </x:c>
      <x:c r="F105" s="18" t="str">
        <x:f>IF($C105="","",XLOOKUP($C105,Products!$A$5:$A$34,Products!$C$5:$C$34,""))</x:f>
      </x:c>
      <x:c r="G105" s="19" t="str">
        <x:f>IF($C105="","",XLOOKUP($C105,Products!$A$5:$A$34,Products!$F$5:$F$34,""))</x:f>
      </x:c>
      <x:c r="H105" s="19" t="str">
        <x:f>IF($C105="","",XLOOKUP($C105,Products!$A$5:$A$34,Products!$E$5:$E$34,""))</x:f>
      </x:c>
      <x:c r="I105" s="19" t="str">
        <x:f>IF(OR($C105="",$D105=""),"",($D105*$G105))</x:f>
      </x:c>
      <x:c r="J105" s="18"/>
      <x:c r="K105" s="19" t="str">
        <x:f>IF(OR($C105="",$D105=""),"",$I105-($D105*$H105))</x:f>
      </x:c>
      <x:c r="L105" s="18"/>
      <x:c r="M105" s="18"/>
    </x:row>
    <x:row r="106" ht="15" hidden="0" customHeight="1">
      <x:c r="A106" s="22"/>
      <x:c r="B106" s="18"/>
      <x:c r="C106" s="18"/>
      <x:c r="D106" s="18"/>
      <x:c r="E106" s="18" t="str">
        <x:f>IF($C106="","",XLOOKUP($C106,Products!$A$5:$A$34,Products!$B$5:$B$34,""))</x:f>
      </x:c>
      <x:c r="F106" s="18" t="str">
        <x:f>IF($C106="","",XLOOKUP($C106,Products!$A$5:$A$34,Products!$C$5:$C$34,""))</x:f>
      </x:c>
      <x:c r="G106" s="19" t="str">
        <x:f>IF($C106="","",XLOOKUP($C106,Products!$A$5:$A$34,Products!$F$5:$F$34,""))</x:f>
      </x:c>
      <x:c r="H106" s="19" t="str">
        <x:f>IF($C106="","",XLOOKUP($C106,Products!$A$5:$A$34,Products!$E$5:$E$34,""))</x:f>
      </x:c>
      <x:c r="I106" s="19" t="str">
        <x:f>IF(OR($C106="",$D106=""),"",($D106*$G106))</x:f>
      </x:c>
      <x:c r="J106" s="18"/>
      <x:c r="K106" s="19" t="str">
        <x:f>IF(OR($C106="",$D106=""),"",$I106-($D106*$H106))</x:f>
      </x:c>
      <x:c r="L106" s="18"/>
      <x:c r="M106" s="18"/>
    </x:row>
    <x:row r="107" ht="15" hidden="0" customHeight="1">
      <x:c r="A107" s="22"/>
      <x:c r="B107" s="18"/>
      <x:c r="C107" s="18"/>
      <x:c r="D107" s="18"/>
      <x:c r="E107" s="18" t="str">
        <x:f>IF($C107="","",XLOOKUP($C107,Products!$A$5:$A$34,Products!$B$5:$B$34,""))</x:f>
      </x:c>
      <x:c r="F107" s="18" t="str">
        <x:f>IF($C107="","",XLOOKUP($C107,Products!$A$5:$A$34,Products!$C$5:$C$34,""))</x:f>
      </x:c>
      <x:c r="G107" s="19" t="str">
        <x:f>IF($C107="","",XLOOKUP($C107,Products!$A$5:$A$34,Products!$F$5:$F$34,""))</x:f>
      </x:c>
      <x:c r="H107" s="19" t="str">
        <x:f>IF($C107="","",XLOOKUP($C107,Products!$A$5:$A$34,Products!$E$5:$E$34,""))</x:f>
      </x:c>
      <x:c r="I107" s="19" t="str">
        <x:f>IF(OR($C107="",$D107=""),"",($D107*$G107))</x:f>
      </x:c>
      <x:c r="J107" s="18"/>
      <x:c r="K107" s="19" t="str">
        <x:f>IF(OR($C107="",$D107=""),"",$I107-($D107*$H107))</x:f>
      </x:c>
      <x:c r="L107" s="18"/>
      <x:c r="M107" s="18"/>
    </x:row>
    <x:row r="108" ht="15" hidden="0" customHeight="1">
      <x:c r="A108" s="22"/>
      <x:c r="B108" s="18"/>
      <x:c r="C108" s="18"/>
      <x:c r="D108" s="18"/>
      <x:c r="E108" s="18" t="str">
        <x:f>IF($C108="","",XLOOKUP($C108,Products!$A$5:$A$34,Products!$B$5:$B$34,""))</x:f>
      </x:c>
      <x:c r="F108" s="18" t="str">
        <x:f>IF($C108="","",XLOOKUP($C108,Products!$A$5:$A$34,Products!$C$5:$C$34,""))</x:f>
      </x:c>
      <x:c r="G108" s="19" t="str">
        <x:f>IF($C108="","",XLOOKUP($C108,Products!$A$5:$A$34,Products!$F$5:$F$34,""))</x:f>
      </x:c>
      <x:c r="H108" s="19" t="str">
        <x:f>IF($C108="","",XLOOKUP($C108,Products!$A$5:$A$34,Products!$E$5:$E$34,""))</x:f>
      </x:c>
      <x:c r="I108" s="19" t="str">
        <x:f>IF(OR($C108="",$D108=""),"",($D108*$G108))</x:f>
      </x:c>
      <x:c r="J108" s="18"/>
      <x:c r="K108" s="19" t="str">
        <x:f>IF(OR($C108="",$D108=""),"",$I108-($D108*$H108))</x:f>
      </x:c>
      <x:c r="L108" s="18"/>
      <x:c r="M108" s="18"/>
    </x:row>
    <x:row r="109" ht="15" hidden="0" customHeight="1">
      <x:c r="A109" s="22"/>
      <x:c r="B109" s="18"/>
      <x:c r="C109" s="18"/>
      <x:c r="D109" s="18"/>
      <x:c r="E109" s="18" t="str">
        <x:f>IF($C109="","",XLOOKUP($C109,Products!$A$5:$A$34,Products!$B$5:$B$34,""))</x:f>
      </x:c>
      <x:c r="F109" s="18" t="str">
        <x:f>IF($C109="","",XLOOKUP($C109,Products!$A$5:$A$34,Products!$C$5:$C$34,""))</x:f>
      </x:c>
      <x:c r="G109" s="19" t="str">
        <x:f>IF($C109="","",XLOOKUP($C109,Products!$A$5:$A$34,Products!$F$5:$F$34,""))</x:f>
      </x:c>
      <x:c r="H109" s="19" t="str">
        <x:f>IF($C109="","",XLOOKUP($C109,Products!$A$5:$A$34,Products!$E$5:$E$34,""))</x:f>
      </x:c>
      <x:c r="I109" s="19" t="str">
        <x:f>IF(OR($C109="",$D109=""),"",($D109*$G109))</x:f>
      </x:c>
      <x:c r="J109" s="18"/>
      <x:c r="K109" s="19" t="str">
        <x:f>IF(OR($C109="",$D109=""),"",$I109-($D109*$H109))</x:f>
      </x:c>
      <x:c r="L109" s="18"/>
      <x:c r="M109" s="18"/>
    </x:row>
    <x:row r="110" ht="15" hidden="0" customHeight="1">
      <x:c r="A110" s="22"/>
      <x:c r="B110" s="18"/>
      <x:c r="C110" s="18"/>
      <x:c r="D110" s="18"/>
      <x:c r="E110" s="18" t="str">
        <x:f>IF($C110="","",XLOOKUP($C110,Products!$A$5:$A$34,Products!$B$5:$B$34,""))</x:f>
      </x:c>
      <x:c r="F110" s="18" t="str">
        <x:f>IF($C110="","",XLOOKUP($C110,Products!$A$5:$A$34,Products!$C$5:$C$34,""))</x:f>
      </x:c>
      <x:c r="G110" s="19" t="str">
        <x:f>IF($C110="","",XLOOKUP($C110,Products!$A$5:$A$34,Products!$F$5:$F$34,""))</x:f>
      </x:c>
      <x:c r="H110" s="19" t="str">
        <x:f>IF($C110="","",XLOOKUP($C110,Products!$A$5:$A$34,Products!$E$5:$E$34,""))</x:f>
      </x:c>
      <x:c r="I110" s="19" t="str">
        <x:f>IF(OR($C110="",$D110=""),"",($D110*$G110))</x:f>
      </x:c>
      <x:c r="J110" s="18"/>
      <x:c r="K110" s="19" t="str">
        <x:f>IF(OR($C110="",$D110=""),"",$I110-($D110*$H110))</x:f>
      </x:c>
      <x:c r="L110" s="18"/>
      <x:c r="M110" s="18"/>
    </x:row>
    <x:row r="111" ht="15" hidden="0" customHeight="1">
      <x:c r="A111" s="22"/>
      <x:c r="B111" s="18"/>
      <x:c r="C111" s="18"/>
      <x:c r="D111" s="18"/>
      <x:c r="E111" s="18" t="str">
        <x:f>IF($C111="","",XLOOKUP($C111,Products!$A$5:$A$34,Products!$B$5:$B$34,""))</x:f>
      </x:c>
      <x:c r="F111" s="18" t="str">
        <x:f>IF($C111="","",XLOOKUP($C111,Products!$A$5:$A$34,Products!$C$5:$C$34,""))</x:f>
      </x:c>
      <x:c r="G111" s="19" t="str">
        <x:f>IF($C111="","",XLOOKUP($C111,Products!$A$5:$A$34,Products!$F$5:$F$34,""))</x:f>
      </x:c>
      <x:c r="H111" s="19" t="str">
        <x:f>IF($C111="","",XLOOKUP($C111,Products!$A$5:$A$34,Products!$E$5:$E$34,""))</x:f>
      </x:c>
      <x:c r="I111" s="19" t="str">
        <x:f>IF(OR($C111="",$D111=""),"",($D111*$G111))</x:f>
      </x:c>
      <x:c r="J111" s="18"/>
      <x:c r="K111" s="19" t="str">
        <x:f>IF(OR($C111="",$D111=""),"",$I111-($D111*$H111))</x:f>
      </x:c>
      <x:c r="L111" s="18"/>
      <x:c r="M111" s="18"/>
    </x:row>
    <x:row r="112" ht="15" hidden="0" customHeight="1">
      <x:c r="A112" s="22"/>
      <x:c r="B112" s="18"/>
      <x:c r="C112" s="18"/>
      <x:c r="D112" s="18"/>
      <x:c r="E112" s="18" t="str">
        <x:f>IF($C112="","",XLOOKUP($C112,Products!$A$5:$A$34,Products!$B$5:$B$34,""))</x:f>
      </x:c>
      <x:c r="F112" s="18" t="str">
        <x:f>IF($C112="","",XLOOKUP($C112,Products!$A$5:$A$34,Products!$C$5:$C$34,""))</x:f>
      </x:c>
      <x:c r="G112" s="19" t="str">
        <x:f>IF($C112="","",XLOOKUP($C112,Products!$A$5:$A$34,Products!$F$5:$F$34,""))</x:f>
      </x:c>
      <x:c r="H112" s="19" t="str">
        <x:f>IF($C112="","",XLOOKUP($C112,Products!$A$5:$A$34,Products!$E$5:$E$34,""))</x:f>
      </x:c>
      <x:c r="I112" s="19" t="str">
        <x:f>IF(OR($C112="",$D112=""),"",($D112*$G112))</x:f>
      </x:c>
      <x:c r="J112" s="18"/>
      <x:c r="K112" s="19" t="str">
        <x:f>IF(OR($C112="",$D112=""),"",$I112-($D112*$H112))</x:f>
      </x:c>
      <x:c r="L112" s="18"/>
      <x:c r="M112" s="18"/>
    </x:row>
    <x:row r="113" ht="15" hidden="0" customHeight="1">
      <x:c r="A113" s="22"/>
      <x:c r="B113" s="18"/>
      <x:c r="C113" s="18"/>
      <x:c r="D113" s="18"/>
      <x:c r="E113" s="18" t="str">
        <x:f>IF($C113="","",XLOOKUP($C113,Products!$A$5:$A$34,Products!$B$5:$B$34,""))</x:f>
      </x:c>
      <x:c r="F113" s="18" t="str">
        <x:f>IF($C113="","",XLOOKUP($C113,Products!$A$5:$A$34,Products!$C$5:$C$34,""))</x:f>
      </x:c>
      <x:c r="G113" s="19" t="str">
        <x:f>IF($C113="","",XLOOKUP($C113,Products!$A$5:$A$34,Products!$F$5:$F$34,""))</x:f>
      </x:c>
      <x:c r="H113" s="19" t="str">
        <x:f>IF($C113="","",XLOOKUP($C113,Products!$A$5:$A$34,Products!$E$5:$E$34,""))</x:f>
      </x:c>
      <x:c r="I113" s="19" t="str">
        <x:f>IF(OR($C113="",$D113=""),"",($D113*$G113))</x:f>
      </x:c>
      <x:c r="J113" s="18"/>
      <x:c r="K113" s="19" t="str">
        <x:f>IF(OR($C113="",$D113=""),"",$I113-($D113*$H113))</x:f>
      </x:c>
      <x:c r="L113" s="18"/>
      <x:c r="M113" s="18"/>
    </x:row>
    <x:row r="114" ht="15" hidden="0" customHeight="1">
      <x:c r="A114" s="22"/>
      <x:c r="B114" s="18"/>
      <x:c r="C114" s="18"/>
      <x:c r="D114" s="18"/>
      <x:c r="E114" s="18" t="str">
        <x:f>IF($C114="","",XLOOKUP($C114,Products!$A$5:$A$34,Products!$B$5:$B$34,""))</x:f>
      </x:c>
      <x:c r="F114" s="18" t="str">
        <x:f>IF($C114="","",XLOOKUP($C114,Products!$A$5:$A$34,Products!$C$5:$C$34,""))</x:f>
      </x:c>
      <x:c r="G114" s="19" t="str">
        <x:f>IF($C114="","",XLOOKUP($C114,Products!$A$5:$A$34,Products!$F$5:$F$34,""))</x:f>
      </x:c>
      <x:c r="H114" s="19" t="str">
        <x:f>IF($C114="","",XLOOKUP($C114,Products!$A$5:$A$34,Products!$E$5:$E$34,""))</x:f>
      </x:c>
      <x:c r="I114" s="19" t="str">
        <x:f>IF(OR($C114="",$D114=""),"",($D114*$G114))</x:f>
      </x:c>
      <x:c r="J114" s="18"/>
      <x:c r="K114" s="19" t="str">
        <x:f>IF(OR($C114="",$D114=""),"",$I114-($D114*$H114))</x:f>
      </x:c>
      <x:c r="L114" s="18"/>
      <x:c r="M114" s="18"/>
    </x:row>
    <x:row r="115" ht="15" hidden="0" customHeight="1">
      <x:c r="A115" s="22"/>
      <x:c r="B115" s="18"/>
      <x:c r="C115" s="18"/>
      <x:c r="D115" s="18"/>
      <x:c r="E115" s="18" t="str">
        <x:f>IF($C115="","",XLOOKUP($C115,Products!$A$5:$A$34,Products!$B$5:$B$34,""))</x:f>
      </x:c>
      <x:c r="F115" s="18" t="str">
        <x:f>IF($C115="","",XLOOKUP($C115,Products!$A$5:$A$34,Products!$C$5:$C$34,""))</x:f>
      </x:c>
      <x:c r="G115" s="19" t="str">
        <x:f>IF($C115="","",XLOOKUP($C115,Products!$A$5:$A$34,Products!$F$5:$F$34,""))</x:f>
      </x:c>
      <x:c r="H115" s="19" t="str">
        <x:f>IF($C115="","",XLOOKUP($C115,Products!$A$5:$A$34,Products!$E$5:$E$34,""))</x:f>
      </x:c>
      <x:c r="I115" s="19" t="str">
        <x:f>IF(OR($C115="",$D115=""),"",($D115*$G115))</x:f>
      </x:c>
      <x:c r="J115" s="18"/>
      <x:c r="K115" s="19" t="str">
        <x:f>IF(OR($C115="",$D115=""),"",$I115-($D115*$H115))</x:f>
      </x:c>
      <x:c r="L115" s="18"/>
      <x:c r="M115" s="18"/>
    </x:row>
    <x:row r="116" ht="15" hidden="0" customHeight="1">
      <x:c r="A116" s="22"/>
      <x:c r="B116" s="18"/>
      <x:c r="C116" s="18"/>
      <x:c r="D116" s="18"/>
      <x:c r="E116" s="18" t="str">
        <x:f>IF($C116="","",XLOOKUP($C116,Products!$A$5:$A$34,Products!$B$5:$B$34,""))</x:f>
      </x:c>
      <x:c r="F116" s="18" t="str">
        <x:f>IF($C116="","",XLOOKUP($C116,Products!$A$5:$A$34,Products!$C$5:$C$34,""))</x:f>
      </x:c>
      <x:c r="G116" s="19" t="str">
        <x:f>IF($C116="","",XLOOKUP($C116,Products!$A$5:$A$34,Products!$F$5:$F$34,""))</x:f>
      </x:c>
      <x:c r="H116" s="19" t="str">
        <x:f>IF($C116="","",XLOOKUP($C116,Products!$A$5:$A$34,Products!$E$5:$E$34,""))</x:f>
      </x:c>
      <x:c r="I116" s="19" t="str">
        <x:f>IF(OR($C116="",$D116=""),"",($D116*$G116))</x:f>
      </x:c>
      <x:c r="J116" s="18"/>
      <x:c r="K116" s="19" t="str">
        <x:f>IF(OR($C116="",$D116=""),"",$I116-($D116*$H116))</x:f>
      </x:c>
      <x:c r="L116" s="18"/>
      <x:c r="M116" s="18"/>
    </x:row>
    <x:row r="117" ht="15" hidden="0" customHeight="1">
      <x:c r="A117" s="22"/>
      <x:c r="B117" s="18"/>
      <x:c r="C117" s="18"/>
      <x:c r="D117" s="18"/>
      <x:c r="E117" s="18" t="str">
        <x:f>IF($C117="","",XLOOKUP($C117,Products!$A$5:$A$34,Products!$B$5:$B$34,""))</x:f>
      </x:c>
      <x:c r="F117" s="18" t="str">
        <x:f>IF($C117="","",XLOOKUP($C117,Products!$A$5:$A$34,Products!$C$5:$C$34,""))</x:f>
      </x:c>
      <x:c r="G117" s="19" t="str">
        <x:f>IF($C117="","",XLOOKUP($C117,Products!$A$5:$A$34,Products!$F$5:$F$34,""))</x:f>
      </x:c>
      <x:c r="H117" s="19" t="str">
        <x:f>IF($C117="","",XLOOKUP($C117,Products!$A$5:$A$34,Products!$E$5:$E$34,""))</x:f>
      </x:c>
      <x:c r="I117" s="19" t="str">
        <x:f>IF(OR($C117="",$D117=""),"",($D117*$G117))</x:f>
      </x:c>
      <x:c r="J117" s="18"/>
      <x:c r="K117" s="19" t="str">
        <x:f>IF(OR($C117="",$D117=""),"",$I117-($D117*$H117))</x:f>
      </x:c>
      <x:c r="L117" s="18"/>
      <x:c r="M117" s="18"/>
    </x:row>
    <x:row r="118" ht="15" hidden="0" customHeight="1">
      <x:c r="A118" s="22"/>
      <x:c r="B118" s="18"/>
      <x:c r="C118" s="18"/>
      <x:c r="D118" s="18"/>
      <x:c r="E118" s="18" t="str">
        <x:f>IF($C118="","",XLOOKUP($C118,Products!$A$5:$A$34,Products!$B$5:$B$34,""))</x:f>
      </x:c>
      <x:c r="F118" s="18" t="str">
        <x:f>IF($C118="","",XLOOKUP($C118,Products!$A$5:$A$34,Products!$C$5:$C$34,""))</x:f>
      </x:c>
      <x:c r="G118" s="19" t="str">
        <x:f>IF($C118="","",XLOOKUP($C118,Products!$A$5:$A$34,Products!$F$5:$F$34,""))</x:f>
      </x:c>
      <x:c r="H118" s="19" t="str">
        <x:f>IF($C118="","",XLOOKUP($C118,Products!$A$5:$A$34,Products!$E$5:$E$34,""))</x:f>
      </x:c>
      <x:c r="I118" s="19" t="str">
        <x:f>IF(OR($C118="",$D118=""),"",($D118*$G118))</x:f>
      </x:c>
      <x:c r="J118" s="18"/>
      <x:c r="K118" s="19" t="str">
        <x:f>IF(OR($C118="",$D118=""),"",$I118-($D118*$H118))</x:f>
      </x:c>
      <x:c r="L118" s="18"/>
      <x:c r="M118" s="18"/>
    </x:row>
    <x:row r="119" ht="15" hidden="0" customHeight="1">
      <x:c r="A119" s="22"/>
      <x:c r="B119" s="18"/>
      <x:c r="C119" s="18"/>
      <x:c r="D119" s="18"/>
      <x:c r="E119" s="18" t="str">
        <x:f>IF($C119="","",XLOOKUP($C119,Products!$A$5:$A$34,Products!$B$5:$B$34,""))</x:f>
      </x:c>
      <x:c r="F119" s="18" t="str">
        <x:f>IF($C119="","",XLOOKUP($C119,Products!$A$5:$A$34,Products!$C$5:$C$34,""))</x:f>
      </x:c>
      <x:c r="G119" s="19" t="str">
        <x:f>IF($C119="","",XLOOKUP($C119,Products!$A$5:$A$34,Products!$F$5:$F$34,""))</x:f>
      </x:c>
      <x:c r="H119" s="19" t="str">
        <x:f>IF($C119="","",XLOOKUP($C119,Products!$A$5:$A$34,Products!$E$5:$E$34,""))</x:f>
      </x:c>
      <x:c r="I119" s="19" t="str">
        <x:f>IF(OR($C119="",$D119=""),"",($D119*$G119))</x:f>
      </x:c>
      <x:c r="J119" s="18"/>
      <x:c r="K119" s="19" t="str">
        <x:f>IF(OR($C119="",$D119=""),"",$I119-($D119*$H119))</x:f>
      </x:c>
      <x:c r="L119" s="18"/>
      <x:c r="M119" s="18"/>
    </x:row>
    <x:row r="120" ht="15" hidden="0" customHeight="1">
      <x:c r="A120" s="22"/>
      <x:c r="B120" s="18"/>
      <x:c r="C120" s="18"/>
      <x:c r="D120" s="18"/>
      <x:c r="E120" s="18" t="str">
        <x:f>IF($C120="","",XLOOKUP($C120,Products!$A$5:$A$34,Products!$B$5:$B$34,""))</x:f>
      </x:c>
      <x:c r="F120" s="18" t="str">
        <x:f>IF($C120="","",XLOOKUP($C120,Products!$A$5:$A$34,Products!$C$5:$C$34,""))</x:f>
      </x:c>
      <x:c r="G120" s="19" t="str">
        <x:f>IF($C120="","",XLOOKUP($C120,Products!$A$5:$A$34,Products!$F$5:$F$34,""))</x:f>
      </x:c>
      <x:c r="H120" s="19" t="str">
        <x:f>IF($C120="","",XLOOKUP($C120,Products!$A$5:$A$34,Products!$E$5:$E$34,""))</x:f>
      </x:c>
      <x:c r="I120" s="19" t="str">
        <x:f>IF(OR($C120="",$D120=""),"",($D120*$G120))</x:f>
      </x:c>
      <x:c r="J120" s="18"/>
      <x:c r="K120" s="19" t="str">
        <x:f>IF(OR($C120="",$D120=""),"",$I120-($D120*$H120))</x:f>
      </x:c>
      <x:c r="L120" s="18"/>
      <x:c r="M120" s="18"/>
    </x:row>
    <x:row r="121" ht="15" hidden="0" customHeight="1">
      <x:c r="A121" s="22"/>
      <x:c r="B121" s="18"/>
      <x:c r="C121" s="18"/>
      <x:c r="D121" s="18"/>
      <x:c r="E121" s="18" t="str">
        <x:f>IF($C121="","",XLOOKUP($C121,Products!$A$5:$A$34,Products!$B$5:$B$34,""))</x:f>
      </x:c>
      <x:c r="F121" s="18" t="str">
        <x:f>IF($C121="","",XLOOKUP($C121,Products!$A$5:$A$34,Products!$C$5:$C$34,""))</x:f>
      </x:c>
      <x:c r="G121" s="19" t="str">
        <x:f>IF($C121="","",XLOOKUP($C121,Products!$A$5:$A$34,Products!$F$5:$F$34,""))</x:f>
      </x:c>
      <x:c r="H121" s="19" t="str">
        <x:f>IF($C121="","",XLOOKUP($C121,Products!$A$5:$A$34,Products!$E$5:$E$34,""))</x:f>
      </x:c>
      <x:c r="I121" s="19" t="str">
        <x:f>IF(OR($C121="",$D121=""),"",($D121*$G121))</x:f>
      </x:c>
      <x:c r="J121" s="18"/>
      <x:c r="K121" s="19" t="str">
        <x:f>IF(OR($C121="",$D121=""),"",$I121-($D121*$H121))</x:f>
      </x:c>
      <x:c r="L121" s="18"/>
      <x:c r="M121" s="18"/>
    </x:row>
    <x:row r="122" ht="15" hidden="0" customHeight="1">
      <x:c r="A122" s="22"/>
      <x:c r="B122" s="18"/>
      <x:c r="C122" s="18"/>
      <x:c r="D122" s="18"/>
      <x:c r="E122" s="18" t="str">
        <x:f>IF($C122="","",XLOOKUP($C122,Products!$A$5:$A$34,Products!$B$5:$B$34,""))</x:f>
      </x:c>
      <x:c r="F122" s="18" t="str">
        <x:f>IF($C122="","",XLOOKUP($C122,Products!$A$5:$A$34,Products!$C$5:$C$34,""))</x:f>
      </x:c>
      <x:c r="G122" s="19" t="str">
        <x:f>IF($C122="","",XLOOKUP($C122,Products!$A$5:$A$34,Products!$F$5:$F$34,""))</x:f>
      </x:c>
      <x:c r="H122" s="19" t="str">
        <x:f>IF($C122="","",XLOOKUP($C122,Products!$A$5:$A$34,Products!$E$5:$E$34,""))</x:f>
      </x:c>
      <x:c r="I122" s="19" t="str">
        <x:f>IF(OR($C122="",$D122=""),"",($D122*$G122))</x:f>
      </x:c>
      <x:c r="J122" s="18"/>
      <x:c r="K122" s="19" t="str">
        <x:f>IF(OR($C122="",$D122=""),"",$I122-($D122*$H122))</x:f>
      </x:c>
      <x:c r="L122" s="18"/>
      <x:c r="M122" s="18"/>
    </x:row>
    <x:row r="123" ht="15" hidden="0" customHeight="1">
      <x:c r="A123" s="22"/>
      <x:c r="B123" s="18"/>
      <x:c r="C123" s="18"/>
      <x:c r="D123" s="18"/>
      <x:c r="E123" s="18" t="str">
        <x:f>IF($C123="","",XLOOKUP($C123,Products!$A$5:$A$34,Products!$B$5:$B$34,""))</x:f>
      </x:c>
      <x:c r="F123" s="18" t="str">
        <x:f>IF($C123="","",XLOOKUP($C123,Products!$A$5:$A$34,Products!$C$5:$C$34,""))</x:f>
      </x:c>
      <x:c r="G123" s="19" t="str">
        <x:f>IF($C123="","",XLOOKUP($C123,Products!$A$5:$A$34,Products!$F$5:$F$34,""))</x:f>
      </x:c>
      <x:c r="H123" s="19" t="str">
        <x:f>IF($C123="","",XLOOKUP($C123,Products!$A$5:$A$34,Products!$E$5:$E$34,""))</x:f>
      </x:c>
      <x:c r="I123" s="19" t="str">
        <x:f>IF(OR($C123="",$D123=""),"",($D123*$G123))</x:f>
      </x:c>
      <x:c r="J123" s="18"/>
      <x:c r="K123" s="19" t="str">
        <x:f>IF(OR($C123="",$D123=""),"",$I123-($D123*$H123))</x:f>
      </x:c>
      <x:c r="L123" s="18"/>
      <x:c r="M123" s="18"/>
    </x:row>
    <x:row r="124" ht="15" hidden="0" customHeight="1">
      <x:c r="A124" s="22"/>
      <x:c r="B124" s="18"/>
      <x:c r="C124" s="18"/>
      <x:c r="D124" s="18"/>
      <x:c r="E124" s="18" t="str">
        <x:f>IF($C124="","",XLOOKUP($C124,Products!$A$5:$A$34,Products!$B$5:$B$34,""))</x:f>
      </x:c>
      <x:c r="F124" s="18" t="str">
        <x:f>IF($C124="","",XLOOKUP($C124,Products!$A$5:$A$34,Products!$C$5:$C$34,""))</x:f>
      </x:c>
      <x:c r="G124" s="19" t="str">
        <x:f>IF($C124="","",XLOOKUP($C124,Products!$A$5:$A$34,Products!$F$5:$F$34,""))</x:f>
      </x:c>
      <x:c r="H124" s="19" t="str">
        <x:f>IF($C124="","",XLOOKUP($C124,Products!$A$5:$A$34,Products!$E$5:$E$34,""))</x:f>
      </x:c>
      <x:c r="I124" s="19" t="str">
        <x:f>IF(OR($C124="",$D124=""),"",($D124*$G124))</x:f>
      </x:c>
      <x:c r="J124" s="18"/>
      <x:c r="K124" s="19" t="str">
        <x:f>IF(OR($C124="",$D124=""),"",$I124-($D124*$H124))</x:f>
      </x:c>
      <x:c r="L124" s="18"/>
      <x:c r="M124" s="18"/>
    </x:row>
    <x:row r="125" ht="15" hidden="0" customHeight="1">
      <x:c r="A125" s="22"/>
      <x:c r="B125" s="18"/>
      <x:c r="C125" s="18"/>
      <x:c r="D125" s="18"/>
      <x:c r="E125" s="18" t="str">
        <x:f>IF($C125="","",XLOOKUP($C125,Products!$A$5:$A$34,Products!$B$5:$B$34,""))</x:f>
      </x:c>
      <x:c r="F125" s="18" t="str">
        <x:f>IF($C125="","",XLOOKUP($C125,Products!$A$5:$A$34,Products!$C$5:$C$34,""))</x:f>
      </x:c>
      <x:c r="G125" s="19" t="str">
        <x:f>IF($C125="","",XLOOKUP($C125,Products!$A$5:$A$34,Products!$F$5:$F$34,""))</x:f>
      </x:c>
      <x:c r="H125" s="19" t="str">
        <x:f>IF($C125="","",XLOOKUP($C125,Products!$A$5:$A$34,Products!$E$5:$E$34,""))</x:f>
      </x:c>
      <x:c r="I125" s="19" t="str">
        <x:f>IF(OR($C125="",$D125=""),"",($D125*$G125))</x:f>
      </x:c>
      <x:c r="J125" s="18"/>
      <x:c r="K125" s="19" t="str">
        <x:f>IF(OR($C125="",$D125=""),"",$I125-($D125*$H125))</x:f>
      </x:c>
      <x:c r="L125" s="18"/>
      <x:c r="M125" s="18"/>
    </x:row>
    <x:row r="126" ht="15" hidden="0" customHeight="1">
      <x:c r="A126" s="22"/>
      <x:c r="B126" s="18"/>
      <x:c r="C126" s="18"/>
      <x:c r="D126" s="18"/>
      <x:c r="E126" s="18" t="str">
        <x:f>IF($C126="","",XLOOKUP($C126,Products!$A$5:$A$34,Products!$B$5:$B$34,""))</x:f>
      </x:c>
      <x:c r="F126" s="18" t="str">
        <x:f>IF($C126="","",XLOOKUP($C126,Products!$A$5:$A$34,Products!$C$5:$C$34,""))</x:f>
      </x:c>
      <x:c r="G126" s="19" t="str">
        <x:f>IF($C126="","",XLOOKUP($C126,Products!$A$5:$A$34,Products!$F$5:$F$34,""))</x:f>
      </x:c>
      <x:c r="H126" s="19" t="str">
        <x:f>IF($C126="","",XLOOKUP($C126,Products!$A$5:$A$34,Products!$E$5:$E$34,""))</x:f>
      </x:c>
      <x:c r="I126" s="19" t="str">
        <x:f>IF(OR($C126="",$D126=""),"",($D126*$G126))</x:f>
      </x:c>
      <x:c r="J126" s="18"/>
      <x:c r="K126" s="19" t="str">
        <x:f>IF(OR($C126="",$D126=""),"",$I126-($D126*$H126))</x:f>
      </x:c>
      <x:c r="L126" s="18"/>
      <x:c r="M126" s="18"/>
    </x:row>
    <x:row r="127" ht="15" hidden="0" customHeight="1">
      <x:c r="A127" s="22"/>
      <x:c r="B127" s="18"/>
      <x:c r="C127" s="18"/>
      <x:c r="D127" s="18"/>
      <x:c r="E127" s="18" t="str">
        <x:f>IF($C127="","",XLOOKUP($C127,Products!$A$5:$A$34,Products!$B$5:$B$34,""))</x:f>
      </x:c>
      <x:c r="F127" s="18" t="str">
        <x:f>IF($C127="","",XLOOKUP($C127,Products!$A$5:$A$34,Products!$C$5:$C$34,""))</x:f>
      </x:c>
      <x:c r="G127" s="19" t="str">
        <x:f>IF($C127="","",XLOOKUP($C127,Products!$A$5:$A$34,Products!$F$5:$F$34,""))</x:f>
      </x:c>
      <x:c r="H127" s="19" t="str">
        <x:f>IF($C127="","",XLOOKUP($C127,Products!$A$5:$A$34,Products!$E$5:$E$34,""))</x:f>
      </x:c>
      <x:c r="I127" s="19" t="str">
        <x:f>IF(OR($C127="",$D127=""),"",($D127*$G127))</x:f>
      </x:c>
      <x:c r="J127" s="18"/>
      <x:c r="K127" s="19" t="str">
        <x:f>IF(OR($C127="",$D127=""),"",$I127-($D127*$H127))</x:f>
      </x:c>
      <x:c r="L127" s="18"/>
      <x:c r="M127" s="18"/>
    </x:row>
    <x:row r="128" ht="15" hidden="0" customHeight="1">
      <x:c r="A128" s="22"/>
      <x:c r="B128" s="18"/>
      <x:c r="C128" s="18"/>
      <x:c r="D128" s="18"/>
      <x:c r="E128" s="18" t="str">
        <x:f>IF($C128="","",XLOOKUP($C128,Products!$A$5:$A$34,Products!$B$5:$B$34,""))</x:f>
      </x:c>
      <x:c r="F128" s="18" t="str">
        <x:f>IF($C128="","",XLOOKUP($C128,Products!$A$5:$A$34,Products!$C$5:$C$34,""))</x:f>
      </x:c>
      <x:c r="G128" s="19" t="str">
        <x:f>IF($C128="","",XLOOKUP($C128,Products!$A$5:$A$34,Products!$F$5:$F$34,""))</x:f>
      </x:c>
      <x:c r="H128" s="19" t="str">
        <x:f>IF($C128="","",XLOOKUP($C128,Products!$A$5:$A$34,Products!$E$5:$E$34,""))</x:f>
      </x:c>
      <x:c r="I128" s="19" t="str">
        <x:f>IF(OR($C128="",$D128=""),"",($D128*$G128))</x:f>
      </x:c>
      <x:c r="J128" s="18"/>
      <x:c r="K128" s="19" t="str">
        <x:f>IF(OR($C128="",$D128=""),"",$I128-($D128*$H128))</x:f>
      </x:c>
      <x:c r="L128" s="18"/>
      <x:c r="M128" s="18"/>
    </x:row>
    <x:row r="129" ht="15" hidden="0" customHeight="1">
      <x:c r="A129" s="22"/>
      <x:c r="B129" s="18"/>
      <x:c r="C129" s="18"/>
      <x:c r="D129" s="18"/>
      <x:c r="E129" s="18" t="str">
        <x:f>IF($C129="","",XLOOKUP($C129,Products!$A$5:$A$34,Products!$B$5:$B$34,""))</x:f>
      </x:c>
      <x:c r="F129" s="18" t="str">
        <x:f>IF($C129="","",XLOOKUP($C129,Products!$A$5:$A$34,Products!$C$5:$C$34,""))</x:f>
      </x:c>
      <x:c r="G129" s="19" t="str">
        <x:f>IF($C129="","",XLOOKUP($C129,Products!$A$5:$A$34,Products!$F$5:$F$34,""))</x:f>
      </x:c>
      <x:c r="H129" s="19" t="str">
        <x:f>IF($C129="","",XLOOKUP($C129,Products!$A$5:$A$34,Products!$E$5:$E$34,""))</x:f>
      </x:c>
      <x:c r="I129" s="19" t="str">
        <x:f>IF(OR($C129="",$D129=""),"",($D129*$G129))</x:f>
      </x:c>
      <x:c r="J129" s="18"/>
      <x:c r="K129" s="19" t="str">
        <x:f>IF(OR($C129="",$D129=""),"",$I129-($D129*$H129))</x:f>
      </x:c>
      <x:c r="L129" s="18"/>
      <x:c r="M129" s="18"/>
    </x:row>
    <x:row r="130" ht="15" hidden="0" customHeight="1">
      <x:c r="A130" s="22"/>
      <x:c r="B130" s="18"/>
      <x:c r="C130" s="18"/>
      <x:c r="D130" s="18"/>
      <x:c r="E130" s="18" t="str">
        <x:f>IF($C130="","",XLOOKUP($C130,Products!$A$5:$A$34,Products!$B$5:$B$34,""))</x:f>
      </x:c>
      <x:c r="F130" s="18" t="str">
        <x:f>IF($C130="","",XLOOKUP($C130,Products!$A$5:$A$34,Products!$C$5:$C$34,""))</x:f>
      </x:c>
      <x:c r="G130" s="19" t="str">
        <x:f>IF($C130="","",XLOOKUP($C130,Products!$A$5:$A$34,Products!$F$5:$F$34,""))</x:f>
      </x:c>
      <x:c r="H130" s="19" t="str">
        <x:f>IF($C130="","",XLOOKUP($C130,Products!$A$5:$A$34,Products!$E$5:$E$34,""))</x:f>
      </x:c>
      <x:c r="I130" s="19" t="str">
        <x:f>IF(OR($C130="",$D130=""),"",($D130*$G130))</x:f>
      </x:c>
      <x:c r="J130" s="18"/>
      <x:c r="K130" s="19" t="str">
        <x:f>IF(OR($C130="",$D130=""),"",$I130-($D130*$H130))</x:f>
      </x:c>
      <x:c r="L130" s="18"/>
      <x:c r="M130" s="18"/>
    </x:row>
    <x:row r="131" ht="15" hidden="0" customHeight="1">
      <x:c r="A131" s="22"/>
      <x:c r="B131" s="18"/>
      <x:c r="C131" s="18"/>
      <x:c r="D131" s="18"/>
      <x:c r="E131" s="18" t="str">
        <x:f>IF($C131="","",XLOOKUP($C131,Products!$A$5:$A$34,Products!$B$5:$B$34,""))</x:f>
      </x:c>
      <x:c r="F131" s="18" t="str">
        <x:f>IF($C131="","",XLOOKUP($C131,Products!$A$5:$A$34,Products!$C$5:$C$34,""))</x:f>
      </x:c>
      <x:c r="G131" s="19" t="str">
        <x:f>IF($C131="","",XLOOKUP($C131,Products!$A$5:$A$34,Products!$F$5:$F$34,""))</x:f>
      </x:c>
      <x:c r="H131" s="19" t="str">
        <x:f>IF($C131="","",XLOOKUP($C131,Products!$A$5:$A$34,Products!$E$5:$E$34,""))</x:f>
      </x:c>
      <x:c r="I131" s="19" t="str">
        <x:f>IF(OR($C131="",$D131=""),"",($D131*$G131))</x:f>
      </x:c>
      <x:c r="J131" s="18"/>
      <x:c r="K131" s="19" t="str">
        <x:f>IF(OR($C131="",$D131=""),"",$I131-($D131*$H131))</x:f>
      </x:c>
      <x:c r="L131" s="18"/>
      <x:c r="M131" s="18"/>
    </x:row>
    <x:row r="132" ht="15" hidden="0" customHeight="1">
      <x:c r="A132" s="22"/>
      <x:c r="B132" s="18"/>
      <x:c r="C132" s="18"/>
      <x:c r="D132" s="18"/>
      <x:c r="E132" s="18" t="str">
        <x:f>IF($C132="","",XLOOKUP($C132,Products!$A$5:$A$34,Products!$B$5:$B$34,""))</x:f>
      </x:c>
      <x:c r="F132" s="18" t="str">
        <x:f>IF($C132="","",XLOOKUP($C132,Products!$A$5:$A$34,Products!$C$5:$C$34,""))</x:f>
      </x:c>
      <x:c r="G132" s="19" t="str">
        <x:f>IF($C132="","",XLOOKUP($C132,Products!$A$5:$A$34,Products!$F$5:$F$34,""))</x:f>
      </x:c>
      <x:c r="H132" s="19" t="str">
        <x:f>IF($C132="","",XLOOKUP($C132,Products!$A$5:$A$34,Products!$E$5:$E$34,""))</x:f>
      </x:c>
      <x:c r="I132" s="19" t="str">
        <x:f>IF(OR($C132="",$D132=""),"",($D132*$G132))</x:f>
      </x:c>
      <x:c r="J132" s="18"/>
      <x:c r="K132" s="19" t="str">
        <x:f>IF(OR($C132="",$D132=""),"",$I132-($D132*$H132))</x:f>
      </x:c>
      <x:c r="L132" s="18"/>
      <x:c r="M132" s="18"/>
    </x:row>
    <x:row r="133" ht="15" hidden="0" customHeight="1">
      <x:c r="A133" s="22"/>
      <x:c r="B133" s="18"/>
      <x:c r="C133" s="18"/>
      <x:c r="D133" s="18"/>
      <x:c r="E133" s="18" t="str">
        <x:f>IF($C133="","",XLOOKUP($C133,Products!$A$5:$A$34,Products!$B$5:$B$34,""))</x:f>
      </x:c>
      <x:c r="F133" s="18" t="str">
        <x:f>IF($C133="","",XLOOKUP($C133,Products!$A$5:$A$34,Products!$C$5:$C$34,""))</x:f>
      </x:c>
      <x:c r="G133" s="19" t="str">
        <x:f>IF($C133="","",XLOOKUP($C133,Products!$A$5:$A$34,Products!$F$5:$F$34,""))</x:f>
      </x:c>
      <x:c r="H133" s="19" t="str">
        <x:f>IF($C133="","",XLOOKUP($C133,Products!$A$5:$A$34,Products!$E$5:$E$34,""))</x:f>
      </x:c>
      <x:c r="I133" s="19" t="str">
        <x:f>IF(OR($C133="",$D133=""),"",($D133*$G133))</x:f>
      </x:c>
      <x:c r="J133" s="18"/>
      <x:c r="K133" s="19" t="str">
        <x:f>IF(OR($C133="",$D133=""),"",$I133-($D133*$H133))</x:f>
      </x:c>
      <x:c r="L133" s="18"/>
      <x:c r="M133" s="18"/>
    </x:row>
    <x:row r="134" ht="15" hidden="0" customHeight="1">
      <x:c r="A134" s="22"/>
      <x:c r="B134" s="18"/>
      <x:c r="C134" s="18"/>
      <x:c r="D134" s="18"/>
      <x:c r="E134" s="18" t="str">
        <x:f>IF($C134="","",XLOOKUP($C134,Products!$A$5:$A$34,Products!$B$5:$B$34,""))</x:f>
      </x:c>
      <x:c r="F134" s="18" t="str">
        <x:f>IF($C134="","",XLOOKUP($C134,Products!$A$5:$A$34,Products!$C$5:$C$34,""))</x:f>
      </x:c>
      <x:c r="G134" s="19" t="str">
        <x:f>IF($C134="","",XLOOKUP($C134,Products!$A$5:$A$34,Products!$F$5:$F$34,""))</x:f>
      </x:c>
      <x:c r="H134" s="19" t="str">
        <x:f>IF($C134="","",XLOOKUP($C134,Products!$A$5:$A$34,Products!$E$5:$E$34,""))</x:f>
      </x:c>
      <x:c r="I134" s="19" t="str">
        <x:f>IF(OR($C134="",$D134=""),"",($D134*$G134))</x:f>
      </x:c>
      <x:c r="J134" s="18"/>
      <x:c r="K134" s="19" t="str">
        <x:f>IF(OR($C134="",$D134=""),"",$I134-($D134*$H134))</x:f>
      </x:c>
      <x:c r="L134" s="18"/>
      <x:c r="M134" s="18"/>
    </x:row>
    <x:row r="135" ht="15" hidden="0" customHeight="1">
      <x:c r="A135" s="22"/>
      <x:c r="B135" s="18"/>
      <x:c r="C135" s="18"/>
      <x:c r="D135" s="18"/>
      <x:c r="E135" s="18" t="str">
        <x:f>IF($C135="","",XLOOKUP($C135,Products!$A$5:$A$34,Products!$B$5:$B$34,""))</x:f>
      </x:c>
      <x:c r="F135" s="18" t="str">
        <x:f>IF($C135="","",XLOOKUP($C135,Products!$A$5:$A$34,Products!$C$5:$C$34,""))</x:f>
      </x:c>
      <x:c r="G135" s="19" t="str">
        <x:f>IF($C135="","",XLOOKUP($C135,Products!$A$5:$A$34,Products!$F$5:$F$34,""))</x:f>
      </x:c>
      <x:c r="H135" s="19" t="str">
        <x:f>IF($C135="","",XLOOKUP($C135,Products!$A$5:$A$34,Products!$E$5:$E$34,""))</x:f>
      </x:c>
      <x:c r="I135" s="19" t="str">
        <x:f>IF(OR($C135="",$D135=""),"",($D135*$G135))</x:f>
      </x:c>
      <x:c r="J135" s="18"/>
      <x:c r="K135" s="19" t="str">
        <x:f>IF(OR($C135="",$D135=""),"",$I135-($D135*$H135))</x:f>
      </x:c>
      <x:c r="L135" s="18"/>
      <x:c r="M135" s="18"/>
    </x:row>
    <x:row r="136" ht="15" hidden="0" customHeight="1">
      <x:c r="A136" s="22"/>
      <x:c r="B136" s="18"/>
      <x:c r="C136" s="18"/>
      <x:c r="D136" s="18"/>
      <x:c r="E136" s="18" t="str">
        <x:f>IF($C136="","",XLOOKUP($C136,Products!$A$5:$A$34,Products!$B$5:$B$34,""))</x:f>
      </x:c>
      <x:c r="F136" s="18" t="str">
        <x:f>IF($C136="","",XLOOKUP($C136,Products!$A$5:$A$34,Products!$C$5:$C$34,""))</x:f>
      </x:c>
      <x:c r="G136" s="19" t="str">
        <x:f>IF($C136="","",XLOOKUP($C136,Products!$A$5:$A$34,Products!$F$5:$F$34,""))</x:f>
      </x:c>
      <x:c r="H136" s="19" t="str">
        <x:f>IF($C136="","",XLOOKUP($C136,Products!$A$5:$A$34,Products!$E$5:$E$34,""))</x:f>
      </x:c>
      <x:c r="I136" s="19" t="str">
        <x:f>IF(OR($C136="",$D136=""),"",($D136*$G136))</x:f>
      </x:c>
      <x:c r="J136" s="18"/>
      <x:c r="K136" s="19" t="str">
        <x:f>IF(OR($C136="",$D136=""),"",$I136-($D136*$H136))</x:f>
      </x:c>
      <x:c r="L136" s="18"/>
      <x:c r="M136" s="18"/>
    </x:row>
    <x:row r="137" ht="15" hidden="0" customHeight="1">
      <x:c r="A137" s="22"/>
      <x:c r="B137" s="18"/>
      <x:c r="C137" s="18"/>
      <x:c r="D137" s="18"/>
      <x:c r="E137" s="18" t="str">
        <x:f>IF($C137="","",XLOOKUP($C137,Products!$A$5:$A$34,Products!$B$5:$B$34,""))</x:f>
      </x:c>
      <x:c r="F137" s="18" t="str">
        <x:f>IF($C137="","",XLOOKUP($C137,Products!$A$5:$A$34,Products!$C$5:$C$34,""))</x:f>
      </x:c>
      <x:c r="G137" s="19" t="str">
        <x:f>IF($C137="","",XLOOKUP($C137,Products!$A$5:$A$34,Products!$F$5:$F$34,""))</x:f>
      </x:c>
      <x:c r="H137" s="19" t="str">
        <x:f>IF($C137="","",XLOOKUP($C137,Products!$A$5:$A$34,Products!$E$5:$E$34,""))</x:f>
      </x:c>
      <x:c r="I137" s="19" t="str">
        <x:f>IF(OR($C137="",$D137=""),"",($D137*$G137))</x:f>
      </x:c>
      <x:c r="J137" s="18"/>
      <x:c r="K137" s="19" t="str">
        <x:f>IF(OR($C137="",$D137=""),"",$I137-($D137*$H137))</x:f>
      </x:c>
      <x:c r="L137" s="18"/>
      <x:c r="M137" s="18"/>
    </x:row>
    <x:row r="138" ht="15" hidden="0" customHeight="1">
      <x:c r="A138" s="22"/>
      <x:c r="B138" s="18"/>
      <x:c r="C138" s="18"/>
      <x:c r="D138" s="18"/>
      <x:c r="E138" s="18" t="str">
        <x:f>IF($C138="","",XLOOKUP($C138,Products!$A$5:$A$34,Products!$B$5:$B$34,""))</x:f>
      </x:c>
      <x:c r="F138" s="18" t="str">
        <x:f>IF($C138="","",XLOOKUP($C138,Products!$A$5:$A$34,Products!$C$5:$C$34,""))</x:f>
      </x:c>
      <x:c r="G138" s="19" t="str">
        <x:f>IF($C138="","",XLOOKUP($C138,Products!$A$5:$A$34,Products!$F$5:$F$34,""))</x:f>
      </x:c>
      <x:c r="H138" s="19" t="str">
        <x:f>IF($C138="","",XLOOKUP($C138,Products!$A$5:$A$34,Products!$E$5:$E$34,""))</x:f>
      </x:c>
      <x:c r="I138" s="19" t="str">
        <x:f>IF(OR($C138="",$D138=""),"",($D138*$G138))</x:f>
      </x:c>
      <x:c r="J138" s="18"/>
      <x:c r="K138" s="19" t="str">
        <x:f>IF(OR($C138="",$D138=""),"",$I138-($D138*$H138))</x:f>
      </x:c>
      <x:c r="L138" s="18"/>
      <x:c r="M138" s="18"/>
    </x:row>
    <x:row r="139" ht="15" hidden="0" customHeight="1">
      <x:c r="A139" s="22"/>
      <x:c r="B139" s="18"/>
      <x:c r="C139" s="18"/>
      <x:c r="D139" s="18"/>
      <x:c r="E139" s="18" t="str">
        <x:f>IF($C139="","",XLOOKUP($C139,Products!$A$5:$A$34,Products!$B$5:$B$34,""))</x:f>
      </x:c>
      <x:c r="F139" s="18" t="str">
        <x:f>IF($C139="","",XLOOKUP($C139,Products!$A$5:$A$34,Products!$C$5:$C$34,""))</x:f>
      </x:c>
      <x:c r="G139" s="19" t="str">
        <x:f>IF($C139="","",XLOOKUP($C139,Products!$A$5:$A$34,Products!$F$5:$F$34,""))</x:f>
      </x:c>
      <x:c r="H139" s="19" t="str">
        <x:f>IF($C139="","",XLOOKUP($C139,Products!$A$5:$A$34,Products!$E$5:$E$34,""))</x:f>
      </x:c>
      <x:c r="I139" s="19" t="str">
        <x:f>IF(OR($C139="",$D139=""),"",($D139*$G139))</x:f>
      </x:c>
      <x:c r="J139" s="18"/>
      <x:c r="K139" s="19" t="str">
        <x:f>IF(OR($C139="",$D139=""),"",$I139-($D139*$H139))</x:f>
      </x:c>
      <x:c r="L139" s="18"/>
      <x:c r="M139" s="18"/>
    </x:row>
    <x:row r="140" ht="15" hidden="0" customHeight="1">
      <x:c r="A140" s="22"/>
      <x:c r="B140" s="18"/>
      <x:c r="C140" s="18"/>
      <x:c r="D140" s="18"/>
      <x:c r="E140" s="18" t="str">
        <x:f>IF($C140="","",XLOOKUP($C140,Products!$A$5:$A$34,Products!$B$5:$B$34,""))</x:f>
      </x:c>
      <x:c r="F140" s="18" t="str">
        <x:f>IF($C140="","",XLOOKUP($C140,Products!$A$5:$A$34,Products!$C$5:$C$34,""))</x:f>
      </x:c>
      <x:c r="G140" s="19" t="str">
        <x:f>IF($C140="","",XLOOKUP($C140,Products!$A$5:$A$34,Products!$F$5:$F$34,""))</x:f>
      </x:c>
      <x:c r="H140" s="19" t="str">
        <x:f>IF($C140="","",XLOOKUP($C140,Products!$A$5:$A$34,Products!$E$5:$E$34,""))</x:f>
      </x:c>
      <x:c r="I140" s="19" t="str">
        <x:f>IF(OR($C140="",$D140=""),"",($D140*$G140))</x:f>
      </x:c>
      <x:c r="J140" s="18"/>
      <x:c r="K140" s="19" t="str">
        <x:f>IF(OR($C140="",$D140=""),"",$I140-($D140*$H140))</x:f>
      </x:c>
      <x:c r="L140" s="18"/>
      <x:c r="M140" s="18"/>
    </x:row>
    <x:row r="141" ht="15" hidden="0" customHeight="1">
      <x:c r="A141" s="22"/>
      <x:c r="B141" s="18"/>
      <x:c r="C141" s="18"/>
      <x:c r="D141" s="18"/>
      <x:c r="E141" s="18" t="str">
        <x:f>IF($C141="","",XLOOKUP($C141,Products!$A$5:$A$34,Products!$B$5:$B$34,""))</x:f>
      </x:c>
      <x:c r="F141" s="18" t="str">
        <x:f>IF($C141="","",XLOOKUP($C141,Products!$A$5:$A$34,Products!$C$5:$C$34,""))</x:f>
      </x:c>
      <x:c r="G141" s="19" t="str">
        <x:f>IF($C141="","",XLOOKUP($C141,Products!$A$5:$A$34,Products!$F$5:$F$34,""))</x:f>
      </x:c>
      <x:c r="H141" s="19" t="str">
        <x:f>IF($C141="","",XLOOKUP($C141,Products!$A$5:$A$34,Products!$E$5:$E$34,""))</x:f>
      </x:c>
      <x:c r="I141" s="19" t="str">
        <x:f>IF(OR($C141="",$D141=""),"",($D141*$G141))</x:f>
      </x:c>
      <x:c r="J141" s="18"/>
      <x:c r="K141" s="19" t="str">
        <x:f>IF(OR($C141="",$D141=""),"",$I141-($D141*$H141))</x:f>
      </x:c>
      <x:c r="L141" s="18"/>
      <x:c r="M141" s="18"/>
    </x:row>
    <x:row r="142" ht="15" hidden="0" customHeight="1">
      <x:c r="A142" s="22"/>
      <x:c r="B142" s="18"/>
      <x:c r="C142" s="18"/>
      <x:c r="D142" s="18"/>
      <x:c r="E142" s="18" t="str">
        <x:f>IF($C142="","",XLOOKUP($C142,Products!$A$5:$A$34,Products!$B$5:$B$34,""))</x:f>
      </x:c>
      <x:c r="F142" s="18" t="str">
        <x:f>IF($C142="","",XLOOKUP($C142,Products!$A$5:$A$34,Products!$C$5:$C$34,""))</x:f>
      </x:c>
      <x:c r="G142" s="19" t="str">
        <x:f>IF($C142="","",XLOOKUP($C142,Products!$A$5:$A$34,Products!$F$5:$F$34,""))</x:f>
      </x:c>
      <x:c r="H142" s="19" t="str">
        <x:f>IF($C142="","",XLOOKUP($C142,Products!$A$5:$A$34,Products!$E$5:$E$34,""))</x:f>
      </x:c>
      <x:c r="I142" s="19" t="str">
        <x:f>IF(OR($C142="",$D142=""),"",($D142*$G142))</x:f>
      </x:c>
      <x:c r="J142" s="18"/>
      <x:c r="K142" s="19" t="str">
        <x:f>IF(OR($C142="",$D142=""),"",$I142-($D142*$H142))</x:f>
      </x:c>
      <x:c r="L142" s="18"/>
      <x:c r="M142" s="18"/>
    </x:row>
    <x:row r="143" ht="15" hidden="0" customHeight="1">
      <x:c r="A143" s="22"/>
      <x:c r="B143" s="18"/>
      <x:c r="C143" s="18"/>
      <x:c r="D143" s="18"/>
      <x:c r="E143" s="18" t="str">
        <x:f>IF($C143="","",XLOOKUP($C143,Products!$A$5:$A$34,Products!$B$5:$B$34,""))</x:f>
      </x:c>
      <x:c r="F143" s="18" t="str">
        <x:f>IF($C143="","",XLOOKUP($C143,Products!$A$5:$A$34,Products!$C$5:$C$34,""))</x:f>
      </x:c>
      <x:c r="G143" s="19" t="str">
        <x:f>IF($C143="","",XLOOKUP($C143,Products!$A$5:$A$34,Products!$F$5:$F$34,""))</x:f>
      </x:c>
      <x:c r="H143" s="19" t="str">
        <x:f>IF($C143="","",XLOOKUP($C143,Products!$A$5:$A$34,Products!$E$5:$E$34,""))</x:f>
      </x:c>
      <x:c r="I143" s="19" t="str">
        <x:f>IF(OR($C143="",$D143=""),"",($D143*$G143))</x:f>
      </x:c>
      <x:c r="J143" s="18"/>
      <x:c r="K143" s="19" t="str">
        <x:f>IF(OR($C143="",$D143=""),"",$I143-($D143*$H143))</x:f>
      </x:c>
      <x:c r="L143" s="18"/>
      <x:c r="M143" s="18"/>
    </x:row>
    <x:row r="144" ht="15" hidden="0" customHeight="1">
      <x:c r="A144" s="22"/>
      <x:c r="B144" s="18"/>
      <x:c r="C144" s="18"/>
      <x:c r="D144" s="18"/>
      <x:c r="E144" s="18" t="str">
        <x:f>IF($C144="","",XLOOKUP($C144,Products!$A$5:$A$34,Products!$B$5:$B$34,""))</x:f>
      </x:c>
      <x:c r="F144" s="18" t="str">
        <x:f>IF($C144="","",XLOOKUP($C144,Products!$A$5:$A$34,Products!$C$5:$C$34,""))</x:f>
      </x:c>
      <x:c r="G144" s="19" t="str">
        <x:f>IF($C144="","",XLOOKUP($C144,Products!$A$5:$A$34,Products!$F$5:$F$34,""))</x:f>
      </x:c>
      <x:c r="H144" s="19" t="str">
        <x:f>IF($C144="","",XLOOKUP($C144,Products!$A$5:$A$34,Products!$E$5:$E$34,""))</x:f>
      </x:c>
      <x:c r="I144" s="19" t="str">
        <x:f>IF(OR($C144="",$D144=""),"",($D144*$G144))</x:f>
      </x:c>
      <x:c r="J144" s="18"/>
      <x:c r="K144" s="19" t="str">
        <x:f>IF(OR($C144="",$D144=""),"",$I144-($D144*$H144))</x:f>
      </x:c>
      <x:c r="L144" s="18"/>
      <x:c r="M144" s="18"/>
    </x:row>
    <x:row r="145" ht="15" hidden="0" customHeight="1">
      <x:c r="A145" s="22"/>
      <x:c r="B145" s="18"/>
      <x:c r="C145" s="18"/>
      <x:c r="D145" s="18"/>
      <x:c r="E145" s="18" t="str">
        <x:f>IF($C145="","",XLOOKUP($C145,Products!$A$5:$A$34,Products!$B$5:$B$34,""))</x:f>
      </x:c>
      <x:c r="F145" s="18" t="str">
        <x:f>IF($C145="","",XLOOKUP($C145,Products!$A$5:$A$34,Products!$C$5:$C$34,""))</x:f>
      </x:c>
      <x:c r="G145" s="19" t="str">
        <x:f>IF($C145="","",XLOOKUP($C145,Products!$A$5:$A$34,Products!$F$5:$F$34,""))</x:f>
      </x:c>
      <x:c r="H145" s="19" t="str">
        <x:f>IF($C145="","",XLOOKUP($C145,Products!$A$5:$A$34,Products!$E$5:$E$34,""))</x:f>
      </x:c>
      <x:c r="I145" s="19" t="str">
        <x:f>IF(OR($C145="",$D145=""),"",($D145*$G145))</x:f>
      </x:c>
      <x:c r="J145" s="18"/>
      <x:c r="K145" s="19" t="str">
        <x:f>IF(OR($C145="",$D145=""),"",$I145-($D145*$H145))</x:f>
      </x:c>
      <x:c r="L145" s="18"/>
      <x:c r="M145" s="18"/>
    </x:row>
    <x:row r="146" ht="15" hidden="0" customHeight="1">
      <x:c r="A146" s="22"/>
      <x:c r="B146" s="18"/>
      <x:c r="C146" s="18"/>
      <x:c r="D146" s="18"/>
      <x:c r="E146" s="18" t="str">
        <x:f>IF($C146="","",XLOOKUP($C146,Products!$A$5:$A$34,Products!$B$5:$B$34,""))</x:f>
      </x:c>
      <x:c r="F146" s="18" t="str">
        <x:f>IF($C146="","",XLOOKUP($C146,Products!$A$5:$A$34,Products!$C$5:$C$34,""))</x:f>
      </x:c>
      <x:c r="G146" s="19" t="str">
        <x:f>IF($C146="","",XLOOKUP($C146,Products!$A$5:$A$34,Products!$F$5:$F$34,""))</x:f>
      </x:c>
      <x:c r="H146" s="19" t="str">
        <x:f>IF($C146="","",XLOOKUP($C146,Products!$A$5:$A$34,Products!$E$5:$E$34,""))</x:f>
      </x:c>
      <x:c r="I146" s="19" t="str">
        <x:f>IF(OR($C146="",$D146=""),"",($D146*$G146))</x:f>
      </x:c>
      <x:c r="J146" s="18"/>
      <x:c r="K146" s="19" t="str">
        <x:f>IF(OR($C146="",$D146=""),"",$I146-($D146*$H146))</x:f>
      </x:c>
      <x:c r="L146" s="18"/>
      <x:c r="M146" s="18"/>
    </x:row>
    <x:row r="147" ht="15" hidden="0" customHeight="1">
      <x:c r="A147" s="22"/>
      <x:c r="B147" s="18"/>
      <x:c r="C147" s="18"/>
      <x:c r="D147" s="18"/>
      <x:c r="E147" s="18" t="str">
        <x:f>IF($C147="","",XLOOKUP($C147,Products!$A$5:$A$34,Products!$B$5:$B$34,""))</x:f>
      </x:c>
      <x:c r="F147" s="18" t="str">
        <x:f>IF($C147="","",XLOOKUP($C147,Products!$A$5:$A$34,Products!$C$5:$C$34,""))</x:f>
      </x:c>
      <x:c r="G147" s="19" t="str">
        <x:f>IF($C147="","",XLOOKUP($C147,Products!$A$5:$A$34,Products!$F$5:$F$34,""))</x:f>
      </x:c>
      <x:c r="H147" s="19" t="str">
        <x:f>IF($C147="","",XLOOKUP($C147,Products!$A$5:$A$34,Products!$E$5:$E$34,""))</x:f>
      </x:c>
      <x:c r="I147" s="19" t="str">
        <x:f>IF(OR($C147="",$D147=""),"",($D147*$G147))</x:f>
      </x:c>
      <x:c r="J147" s="18"/>
      <x:c r="K147" s="19" t="str">
        <x:f>IF(OR($C147="",$D147=""),"",$I147-($D147*$H147))</x:f>
      </x:c>
      <x:c r="L147" s="18"/>
      <x:c r="M147" s="18"/>
    </x:row>
    <x:row r="148" ht="15" hidden="0" customHeight="1">
      <x:c r="A148" s="22"/>
      <x:c r="B148" s="18"/>
      <x:c r="C148" s="18"/>
      <x:c r="D148" s="18"/>
      <x:c r="E148" s="18" t="str">
        <x:f>IF($C148="","",XLOOKUP($C148,Products!$A$5:$A$34,Products!$B$5:$B$34,""))</x:f>
      </x:c>
      <x:c r="F148" s="18" t="str">
        <x:f>IF($C148="","",XLOOKUP($C148,Products!$A$5:$A$34,Products!$C$5:$C$34,""))</x:f>
      </x:c>
      <x:c r="G148" s="19" t="str">
        <x:f>IF($C148="","",XLOOKUP($C148,Products!$A$5:$A$34,Products!$F$5:$F$34,""))</x:f>
      </x:c>
      <x:c r="H148" s="19" t="str">
        <x:f>IF($C148="","",XLOOKUP($C148,Products!$A$5:$A$34,Products!$E$5:$E$34,""))</x:f>
      </x:c>
      <x:c r="I148" s="19" t="str">
        <x:f>IF(OR($C148="",$D148=""),"",($D148*$G148))</x:f>
      </x:c>
      <x:c r="J148" s="18"/>
      <x:c r="K148" s="19" t="str">
        <x:f>IF(OR($C148="",$D148=""),"",$I148-($D148*$H148))</x:f>
      </x:c>
      <x:c r="L148" s="18"/>
      <x:c r="M148" s="18"/>
    </x:row>
    <x:row r="149" ht="15" hidden="0" customHeight="1">
      <x:c r="A149" s="22"/>
      <x:c r="B149" s="18"/>
      <x:c r="C149" s="18"/>
      <x:c r="D149" s="18"/>
      <x:c r="E149" s="18" t="str">
        <x:f>IF($C149="","",XLOOKUP($C149,Products!$A$5:$A$34,Products!$B$5:$B$34,""))</x:f>
      </x:c>
      <x:c r="F149" s="18" t="str">
        <x:f>IF($C149="","",XLOOKUP($C149,Products!$A$5:$A$34,Products!$C$5:$C$34,""))</x:f>
      </x:c>
      <x:c r="G149" s="19" t="str">
        <x:f>IF($C149="","",XLOOKUP($C149,Products!$A$5:$A$34,Products!$F$5:$F$34,""))</x:f>
      </x:c>
      <x:c r="H149" s="19" t="str">
        <x:f>IF($C149="","",XLOOKUP($C149,Products!$A$5:$A$34,Products!$E$5:$E$34,""))</x:f>
      </x:c>
      <x:c r="I149" s="19" t="str">
        <x:f>IF(OR($C149="",$D149=""),"",($D149*$G149))</x:f>
      </x:c>
      <x:c r="J149" s="18"/>
      <x:c r="K149" s="19" t="str">
        <x:f>IF(OR($C149="",$D149=""),"",$I149-($D149*$H149))</x:f>
      </x:c>
      <x:c r="L149" s="18"/>
      <x:c r="M149" s="18"/>
    </x:row>
    <x:row r="150" ht="15" hidden="0" customHeight="1">
      <x:c r="A150" s="22"/>
      <x:c r="B150" s="18"/>
      <x:c r="C150" s="18"/>
      <x:c r="D150" s="18"/>
      <x:c r="E150" s="18" t="str">
        <x:f>IF($C150="","",XLOOKUP($C150,Products!$A$5:$A$34,Products!$B$5:$B$34,""))</x:f>
      </x:c>
      <x:c r="F150" s="18" t="str">
        <x:f>IF($C150="","",XLOOKUP($C150,Products!$A$5:$A$34,Products!$C$5:$C$34,""))</x:f>
      </x:c>
      <x:c r="G150" s="19" t="str">
        <x:f>IF($C150="","",XLOOKUP($C150,Products!$A$5:$A$34,Products!$F$5:$F$34,""))</x:f>
      </x:c>
      <x:c r="H150" s="19" t="str">
        <x:f>IF($C150="","",XLOOKUP($C150,Products!$A$5:$A$34,Products!$E$5:$E$34,""))</x:f>
      </x:c>
      <x:c r="I150" s="19" t="str">
        <x:f>IF(OR($C150="",$D150=""),"",($D150*$G150))</x:f>
      </x:c>
      <x:c r="J150" s="18"/>
      <x:c r="K150" s="19" t="str">
        <x:f>IF(OR($C150="",$D150=""),"",$I150-($D150*$H150))</x:f>
      </x:c>
      <x:c r="L150" s="18"/>
      <x:c r="M150" s="18"/>
    </x:row>
    <x:row r="151" ht="15" hidden="0" customHeight="1">
      <x:c r="A151" s="22"/>
      <x:c r="B151" s="18"/>
      <x:c r="C151" s="18"/>
      <x:c r="D151" s="18"/>
      <x:c r="E151" s="18" t="str">
        <x:f>IF($C151="","",XLOOKUP($C151,Products!$A$5:$A$34,Products!$B$5:$B$34,""))</x:f>
      </x:c>
      <x:c r="F151" s="18" t="str">
        <x:f>IF($C151="","",XLOOKUP($C151,Products!$A$5:$A$34,Products!$C$5:$C$34,""))</x:f>
      </x:c>
      <x:c r="G151" s="19" t="str">
        <x:f>IF($C151="","",XLOOKUP($C151,Products!$A$5:$A$34,Products!$F$5:$F$34,""))</x:f>
      </x:c>
      <x:c r="H151" s="19" t="str">
        <x:f>IF($C151="","",XLOOKUP($C151,Products!$A$5:$A$34,Products!$E$5:$E$34,""))</x:f>
      </x:c>
      <x:c r="I151" s="19" t="str">
        <x:f>IF(OR($C151="",$D151=""),"",($D151*$G151))</x:f>
      </x:c>
      <x:c r="J151" s="18"/>
      <x:c r="K151" s="19" t="str">
        <x:f>IF(OR($C151="",$D151=""),"",$I151-($D151*$H151))</x:f>
      </x:c>
      <x:c r="L151" s="18"/>
      <x:c r="M151" s="18"/>
    </x:row>
    <x:row r="152" ht="15" hidden="0" customHeight="1">
      <x:c r="A152" s="22"/>
      <x:c r="B152" s="18"/>
      <x:c r="C152" s="18"/>
      <x:c r="D152" s="18"/>
      <x:c r="E152" s="18" t="str">
        <x:f>IF($C152="","",XLOOKUP($C152,Products!$A$5:$A$34,Products!$B$5:$B$34,""))</x:f>
      </x:c>
      <x:c r="F152" s="18" t="str">
        <x:f>IF($C152="","",XLOOKUP($C152,Products!$A$5:$A$34,Products!$C$5:$C$34,""))</x:f>
      </x:c>
      <x:c r="G152" s="19" t="str">
        <x:f>IF($C152="","",XLOOKUP($C152,Products!$A$5:$A$34,Products!$F$5:$F$34,""))</x:f>
      </x:c>
      <x:c r="H152" s="19" t="str">
        <x:f>IF($C152="","",XLOOKUP($C152,Products!$A$5:$A$34,Products!$E$5:$E$34,""))</x:f>
      </x:c>
      <x:c r="I152" s="19" t="str">
        <x:f>IF(OR($C152="",$D152=""),"",($D152*$G152))</x:f>
      </x:c>
      <x:c r="J152" s="18"/>
      <x:c r="K152" s="19" t="str">
        <x:f>IF(OR($C152="",$D152=""),"",$I152-($D152*$H152))</x:f>
      </x:c>
      <x:c r="L152" s="18"/>
      <x:c r="M152" s="18"/>
    </x:row>
    <x:row r="153" ht="15" hidden="0" customHeight="1">
      <x:c r="A153" s="22"/>
      <x:c r="B153" s="18"/>
      <x:c r="C153" s="18"/>
      <x:c r="D153" s="18"/>
      <x:c r="E153" s="18" t="str">
        <x:f>IF($C153="","",XLOOKUP($C153,Products!$A$5:$A$34,Products!$B$5:$B$34,""))</x:f>
      </x:c>
      <x:c r="F153" s="18" t="str">
        <x:f>IF($C153="","",XLOOKUP($C153,Products!$A$5:$A$34,Products!$C$5:$C$34,""))</x:f>
      </x:c>
      <x:c r="G153" s="19" t="str">
        <x:f>IF($C153="","",XLOOKUP($C153,Products!$A$5:$A$34,Products!$F$5:$F$34,""))</x:f>
      </x:c>
      <x:c r="H153" s="19" t="str">
        <x:f>IF($C153="","",XLOOKUP($C153,Products!$A$5:$A$34,Products!$E$5:$E$34,""))</x:f>
      </x:c>
      <x:c r="I153" s="19" t="str">
        <x:f>IF(OR($C153="",$D153=""),"",($D153*$G153))</x:f>
      </x:c>
      <x:c r="J153" s="18"/>
      <x:c r="K153" s="19" t="str">
        <x:f>IF(OR($C153="",$D153=""),"",$I153-($D153*$H153))</x:f>
      </x:c>
      <x:c r="L153" s="18"/>
      <x:c r="M153" s="18"/>
    </x:row>
    <x:row r="154" ht="15" hidden="0" customHeight="1">
      <x:c r="A154" s="22"/>
      <x:c r="B154" s="18"/>
      <x:c r="C154" s="18"/>
      <x:c r="D154" s="18"/>
      <x:c r="E154" s="18" t="str">
        <x:f>IF($C154="","",XLOOKUP($C154,Products!$A$5:$A$34,Products!$B$5:$B$34,""))</x:f>
      </x:c>
      <x:c r="F154" s="18" t="str">
        <x:f>IF($C154="","",XLOOKUP($C154,Products!$A$5:$A$34,Products!$C$5:$C$34,""))</x:f>
      </x:c>
      <x:c r="G154" s="19" t="str">
        <x:f>IF($C154="","",XLOOKUP($C154,Products!$A$5:$A$34,Products!$F$5:$F$34,""))</x:f>
      </x:c>
      <x:c r="H154" s="19" t="str">
        <x:f>IF($C154="","",XLOOKUP($C154,Products!$A$5:$A$34,Products!$E$5:$E$34,""))</x:f>
      </x:c>
      <x:c r="I154" s="19" t="str">
        <x:f>IF(OR($C154="",$D154=""),"",($D154*$G154))</x:f>
      </x:c>
      <x:c r="J154" s="18"/>
      <x:c r="K154" s="19" t="str">
        <x:f>IF(OR($C154="",$D154=""),"",$I154-($D154*$H154))</x:f>
      </x:c>
      <x:c r="L154" s="18"/>
      <x:c r="M154" s="18"/>
    </x:row>
    <x:row r="155" ht="15" hidden="0" customHeight="1">
      <x:c r="A155" s="22"/>
      <x:c r="B155" s="18"/>
      <x:c r="C155" s="18"/>
      <x:c r="D155" s="18"/>
      <x:c r="E155" s="18" t="str">
        <x:f>IF($C155="","",XLOOKUP($C155,Products!$A$5:$A$34,Products!$B$5:$B$34,""))</x:f>
      </x:c>
      <x:c r="F155" s="18" t="str">
        <x:f>IF($C155="","",XLOOKUP($C155,Products!$A$5:$A$34,Products!$C$5:$C$34,""))</x:f>
      </x:c>
      <x:c r="G155" s="19" t="str">
        <x:f>IF($C155="","",XLOOKUP($C155,Products!$A$5:$A$34,Products!$F$5:$F$34,""))</x:f>
      </x:c>
      <x:c r="H155" s="19" t="str">
        <x:f>IF($C155="","",XLOOKUP($C155,Products!$A$5:$A$34,Products!$E$5:$E$34,""))</x:f>
      </x:c>
      <x:c r="I155" s="19" t="str">
        <x:f>IF(OR($C155="",$D155=""),"",($D155*$G155))</x:f>
      </x:c>
      <x:c r="J155" s="18"/>
      <x:c r="K155" s="19" t="str">
        <x:f>IF(OR($C155="",$D155=""),"",$I155-($D155*$H155))</x:f>
      </x:c>
      <x:c r="L155" s="18"/>
      <x:c r="M155" s="18"/>
    </x:row>
    <x:row r="156" ht="15" hidden="0" customHeight="1">
      <x:c r="A156" s="22"/>
      <x:c r="B156" s="18"/>
      <x:c r="C156" s="18"/>
      <x:c r="D156" s="18"/>
      <x:c r="E156" s="18" t="str">
        <x:f>IF($C156="","",XLOOKUP($C156,Products!$A$5:$A$34,Products!$B$5:$B$34,""))</x:f>
      </x:c>
      <x:c r="F156" s="18" t="str">
        <x:f>IF($C156="","",XLOOKUP($C156,Products!$A$5:$A$34,Products!$C$5:$C$34,""))</x:f>
      </x:c>
      <x:c r="G156" s="19" t="str">
        <x:f>IF($C156="","",XLOOKUP($C156,Products!$A$5:$A$34,Products!$F$5:$F$34,""))</x:f>
      </x:c>
      <x:c r="H156" s="19" t="str">
        <x:f>IF($C156="","",XLOOKUP($C156,Products!$A$5:$A$34,Products!$E$5:$E$34,""))</x:f>
      </x:c>
      <x:c r="I156" s="19" t="str">
        <x:f>IF(OR($C156="",$D156=""),"",($D156*$G156))</x:f>
      </x:c>
      <x:c r="J156" s="18"/>
      <x:c r="K156" s="19" t="str">
        <x:f>IF(OR($C156="",$D156=""),"",$I156-($D156*$H156))</x:f>
      </x:c>
      <x:c r="L156" s="18"/>
      <x:c r="M156" s="18"/>
    </x:row>
    <x:row r="157" ht="15" hidden="0" customHeight="1">
      <x:c r="A157" s="22"/>
      <x:c r="B157" s="18"/>
      <x:c r="C157" s="18"/>
      <x:c r="D157" s="18"/>
      <x:c r="E157" s="18" t="str">
        <x:f>IF($C157="","",XLOOKUP($C157,Products!$A$5:$A$34,Products!$B$5:$B$34,""))</x:f>
      </x:c>
      <x:c r="F157" s="18" t="str">
        <x:f>IF($C157="","",XLOOKUP($C157,Products!$A$5:$A$34,Products!$C$5:$C$34,""))</x:f>
      </x:c>
      <x:c r="G157" s="19" t="str">
        <x:f>IF($C157="","",XLOOKUP($C157,Products!$A$5:$A$34,Products!$F$5:$F$34,""))</x:f>
      </x:c>
      <x:c r="H157" s="19" t="str">
        <x:f>IF($C157="","",XLOOKUP($C157,Products!$A$5:$A$34,Products!$E$5:$E$34,""))</x:f>
      </x:c>
      <x:c r="I157" s="19" t="str">
        <x:f>IF(OR($C157="",$D157=""),"",($D157*$G157))</x:f>
      </x:c>
      <x:c r="J157" s="18"/>
      <x:c r="K157" s="19" t="str">
        <x:f>IF(OR($C157="",$D157=""),"",$I157-($D157*$H157))</x:f>
      </x:c>
      <x:c r="L157" s="18"/>
      <x:c r="M157" s="18"/>
    </x:row>
    <x:row r="158" ht="15" hidden="0" customHeight="1">
      <x:c r="A158" s="22"/>
      <x:c r="B158" s="18"/>
      <x:c r="C158" s="18"/>
      <x:c r="D158" s="18"/>
      <x:c r="E158" s="18" t="str">
        <x:f>IF($C158="","",XLOOKUP($C158,Products!$A$5:$A$34,Products!$B$5:$B$34,""))</x:f>
      </x:c>
      <x:c r="F158" s="18" t="str">
        <x:f>IF($C158="","",XLOOKUP($C158,Products!$A$5:$A$34,Products!$C$5:$C$34,""))</x:f>
      </x:c>
      <x:c r="G158" s="19" t="str">
        <x:f>IF($C158="","",XLOOKUP($C158,Products!$A$5:$A$34,Products!$F$5:$F$34,""))</x:f>
      </x:c>
      <x:c r="H158" s="19" t="str">
        <x:f>IF($C158="","",XLOOKUP($C158,Products!$A$5:$A$34,Products!$E$5:$E$34,""))</x:f>
      </x:c>
      <x:c r="I158" s="19" t="str">
        <x:f>IF(OR($C158="",$D158=""),"",($D158*$G158))</x:f>
      </x:c>
      <x:c r="J158" s="18"/>
      <x:c r="K158" s="19" t="str">
        <x:f>IF(OR($C158="",$D158=""),"",$I158-($D158*$H158))</x:f>
      </x:c>
      <x:c r="L158" s="18"/>
      <x:c r="M158" s="18"/>
    </x:row>
    <x:row r="159" ht="15" hidden="0" customHeight="1">
      <x:c r="A159" s="22"/>
      <x:c r="B159" s="18"/>
      <x:c r="C159" s="18"/>
      <x:c r="D159" s="18"/>
      <x:c r="E159" s="18" t="str">
        <x:f>IF($C159="","",XLOOKUP($C159,Products!$A$5:$A$34,Products!$B$5:$B$34,""))</x:f>
      </x:c>
      <x:c r="F159" s="18" t="str">
        <x:f>IF($C159="","",XLOOKUP($C159,Products!$A$5:$A$34,Products!$C$5:$C$34,""))</x:f>
      </x:c>
      <x:c r="G159" s="19" t="str">
        <x:f>IF($C159="","",XLOOKUP($C159,Products!$A$5:$A$34,Products!$F$5:$F$34,""))</x:f>
      </x:c>
      <x:c r="H159" s="19" t="str">
        <x:f>IF($C159="","",XLOOKUP($C159,Products!$A$5:$A$34,Products!$E$5:$E$34,""))</x:f>
      </x:c>
      <x:c r="I159" s="19" t="str">
        <x:f>IF(OR($C159="",$D159=""),"",($D159*$G159))</x:f>
      </x:c>
      <x:c r="J159" s="18"/>
      <x:c r="K159" s="19" t="str">
        <x:f>IF(OR($C159="",$D159=""),"",$I159-($D159*$H159))</x:f>
      </x:c>
      <x:c r="L159" s="18"/>
      <x:c r="M159" s="18"/>
    </x:row>
    <x:row r="160" ht="15" hidden="0" customHeight="1">
      <x:c r="A160" s="22"/>
      <x:c r="B160" s="18"/>
      <x:c r="C160" s="18"/>
      <x:c r="D160" s="18"/>
      <x:c r="E160" s="18" t="str">
        <x:f>IF($C160="","",XLOOKUP($C160,Products!$A$5:$A$34,Products!$B$5:$B$34,""))</x:f>
      </x:c>
      <x:c r="F160" s="18" t="str">
        <x:f>IF($C160="","",XLOOKUP($C160,Products!$A$5:$A$34,Products!$C$5:$C$34,""))</x:f>
      </x:c>
      <x:c r="G160" s="19" t="str">
        <x:f>IF($C160="","",XLOOKUP($C160,Products!$A$5:$A$34,Products!$F$5:$F$34,""))</x:f>
      </x:c>
      <x:c r="H160" s="19" t="str">
        <x:f>IF($C160="","",XLOOKUP($C160,Products!$A$5:$A$34,Products!$E$5:$E$34,""))</x:f>
      </x:c>
      <x:c r="I160" s="19" t="str">
        <x:f>IF(OR($C160="",$D160=""),"",($D160*$G160))</x:f>
      </x:c>
      <x:c r="J160" s="18"/>
      <x:c r="K160" s="19" t="str">
        <x:f>IF(OR($C160="",$D160=""),"",$I160-($D160*$H160))</x:f>
      </x:c>
      <x:c r="L160" s="18"/>
      <x:c r="M160" s="18"/>
    </x:row>
    <x:row r="161" ht="15" hidden="0" customHeight="1">
      <x:c r="A161" s="22"/>
      <x:c r="B161" s="18"/>
      <x:c r="C161" s="18"/>
      <x:c r="D161" s="18"/>
      <x:c r="E161" s="18" t="str">
        <x:f>IF($C161="","",XLOOKUP($C161,Products!$A$5:$A$34,Products!$B$5:$B$34,""))</x:f>
      </x:c>
      <x:c r="F161" s="18" t="str">
        <x:f>IF($C161="","",XLOOKUP($C161,Products!$A$5:$A$34,Products!$C$5:$C$34,""))</x:f>
      </x:c>
      <x:c r="G161" s="19" t="str">
        <x:f>IF($C161="","",XLOOKUP($C161,Products!$A$5:$A$34,Products!$F$5:$F$34,""))</x:f>
      </x:c>
      <x:c r="H161" s="19" t="str">
        <x:f>IF($C161="","",XLOOKUP($C161,Products!$A$5:$A$34,Products!$E$5:$E$34,""))</x:f>
      </x:c>
      <x:c r="I161" s="19" t="str">
        <x:f>IF(OR($C161="",$D161=""),"",($D161*$G161))</x:f>
      </x:c>
      <x:c r="J161" s="18"/>
      <x:c r="K161" s="19" t="str">
        <x:f>IF(OR($C161="",$D161=""),"",$I161-($D161*$H161))</x:f>
      </x:c>
      <x:c r="L161" s="18"/>
      <x:c r="M161" s="18"/>
    </x:row>
    <x:row r="162" ht="15" hidden="0" customHeight="1">
      <x:c r="A162" s="22"/>
      <x:c r="B162" s="18"/>
      <x:c r="C162" s="18"/>
      <x:c r="D162" s="18"/>
      <x:c r="E162" s="18" t="str">
        <x:f>IF($C162="","",XLOOKUP($C162,Products!$A$5:$A$34,Products!$B$5:$B$34,""))</x:f>
      </x:c>
      <x:c r="F162" s="18" t="str">
        <x:f>IF($C162="","",XLOOKUP($C162,Products!$A$5:$A$34,Products!$C$5:$C$34,""))</x:f>
      </x:c>
      <x:c r="G162" s="19" t="str">
        <x:f>IF($C162="","",XLOOKUP($C162,Products!$A$5:$A$34,Products!$F$5:$F$34,""))</x:f>
      </x:c>
      <x:c r="H162" s="19" t="str">
        <x:f>IF($C162="","",XLOOKUP($C162,Products!$A$5:$A$34,Products!$E$5:$E$34,""))</x:f>
      </x:c>
      <x:c r="I162" s="19" t="str">
        <x:f>IF(OR($C162="",$D162=""),"",($D162*$G162))</x:f>
      </x:c>
      <x:c r="J162" s="18"/>
      <x:c r="K162" s="19" t="str">
        <x:f>IF(OR($C162="",$D162=""),"",$I162-($D162*$H162))</x:f>
      </x:c>
      <x:c r="L162" s="18"/>
      <x:c r="M162" s="18"/>
    </x:row>
    <x:row r="163" ht="15" hidden="0" customHeight="1">
      <x:c r="A163" s="22"/>
      <x:c r="B163" s="18"/>
      <x:c r="C163" s="18"/>
      <x:c r="D163" s="18"/>
      <x:c r="E163" s="18" t="str">
        <x:f>IF($C163="","",XLOOKUP($C163,Products!$A$5:$A$34,Products!$B$5:$B$34,""))</x:f>
      </x:c>
      <x:c r="F163" s="18" t="str">
        <x:f>IF($C163="","",XLOOKUP($C163,Products!$A$5:$A$34,Products!$C$5:$C$34,""))</x:f>
      </x:c>
      <x:c r="G163" s="19" t="str">
        <x:f>IF($C163="","",XLOOKUP($C163,Products!$A$5:$A$34,Products!$F$5:$F$34,""))</x:f>
      </x:c>
      <x:c r="H163" s="19" t="str">
        <x:f>IF($C163="","",XLOOKUP($C163,Products!$A$5:$A$34,Products!$E$5:$E$34,""))</x:f>
      </x:c>
      <x:c r="I163" s="19" t="str">
        <x:f>IF(OR($C163="",$D163=""),"",($D163*$G163))</x:f>
      </x:c>
      <x:c r="J163" s="18"/>
      <x:c r="K163" s="19" t="str">
        <x:f>IF(OR($C163="",$D163=""),"",$I163-($D163*$H163))</x:f>
      </x:c>
      <x:c r="L163" s="18"/>
      <x:c r="M163" s="18"/>
    </x:row>
    <x:row r="164" ht="15" hidden="0" customHeight="1">
      <x:c r="A164" s="22"/>
      <x:c r="B164" s="18"/>
      <x:c r="C164" s="18"/>
      <x:c r="D164" s="18"/>
      <x:c r="E164" s="18" t="str">
        <x:f>IF($C164="","",XLOOKUP($C164,Products!$A$5:$A$34,Products!$B$5:$B$34,""))</x:f>
      </x:c>
      <x:c r="F164" s="18" t="str">
        <x:f>IF($C164="","",XLOOKUP($C164,Products!$A$5:$A$34,Products!$C$5:$C$34,""))</x:f>
      </x:c>
      <x:c r="G164" s="19" t="str">
        <x:f>IF($C164="","",XLOOKUP($C164,Products!$A$5:$A$34,Products!$F$5:$F$34,""))</x:f>
      </x:c>
      <x:c r="H164" s="19" t="str">
        <x:f>IF($C164="","",XLOOKUP($C164,Products!$A$5:$A$34,Products!$E$5:$E$34,""))</x:f>
      </x:c>
      <x:c r="I164" s="19" t="str">
        <x:f>IF(OR($C164="",$D164=""),"",($D164*$G164))</x:f>
      </x:c>
      <x:c r="J164" s="18"/>
      <x:c r="K164" s="19" t="str">
        <x:f>IF(OR($C164="",$D164=""),"",$I164-($D164*$H164))</x:f>
      </x:c>
      <x:c r="L164" s="18"/>
      <x:c r="M164" s="18"/>
    </x:row>
    <x:row r="165" ht="15" hidden="0" customHeight="1">
      <x:c r="A165" s="22"/>
      <x:c r="B165" s="18"/>
      <x:c r="C165" s="18"/>
      <x:c r="D165" s="18"/>
      <x:c r="E165" s="18" t="str">
        <x:f>IF($C165="","",XLOOKUP($C165,Products!$A$5:$A$34,Products!$B$5:$B$34,""))</x:f>
      </x:c>
      <x:c r="F165" s="18" t="str">
        <x:f>IF($C165="","",XLOOKUP($C165,Products!$A$5:$A$34,Products!$C$5:$C$34,""))</x:f>
      </x:c>
      <x:c r="G165" s="19" t="str">
        <x:f>IF($C165="","",XLOOKUP($C165,Products!$A$5:$A$34,Products!$F$5:$F$34,""))</x:f>
      </x:c>
      <x:c r="H165" s="19" t="str">
        <x:f>IF($C165="","",XLOOKUP($C165,Products!$A$5:$A$34,Products!$E$5:$E$34,""))</x:f>
      </x:c>
      <x:c r="I165" s="19" t="str">
        <x:f>IF(OR($C165="",$D165=""),"",($D165*$G165))</x:f>
      </x:c>
      <x:c r="J165" s="18"/>
      <x:c r="K165" s="19" t="str">
        <x:f>IF(OR($C165="",$D165=""),"",$I165-($D165*$H165))</x:f>
      </x:c>
      <x:c r="L165" s="18"/>
      <x:c r="M165" s="18"/>
    </x:row>
    <x:row r="166" ht="15" hidden="0" customHeight="1">
      <x:c r="A166" s="22"/>
      <x:c r="B166" s="18"/>
      <x:c r="C166" s="18"/>
      <x:c r="D166" s="18"/>
      <x:c r="E166" s="18" t="str">
        <x:f>IF($C166="","",XLOOKUP($C166,Products!$A$5:$A$34,Products!$B$5:$B$34,""))</x:f>
      </x:c>
      <x:c r="F166" s="18" t="str">
        <x:f>IF($C166="","",XLOOKUP($C166,Products!$A$5:$A$34,Products!$C$5:$C$34,""))</x:f>
      </x:c>
      <x:c r="G166" s="19" t="str">
        <x:f>IF($C166="","",XLOOKUP($C166,Products!$A$5:$A$34,Products!$F$5:$F$34,""))</x:f>
      </x:c>
      <x:c r="H166" s="19" t="str">
        <x:f>IF($C166="","",XLOOKUP($C166,Products!$A$5:$A$34,Products!$E$5:$E$34,""))</x:f>
      </x:c>
      <x:c r="I166" s="19" t="str">
        <x:f>IF(OR($C166="",$D166=""),"",($D166*$G166))</x:f>
      </x:c>
      <x:c r="J166" s="18"/>
      <x:c r="K166" s="19" t="str">
        <x:f>IF(OR($C166="",$D166=""),"",$I166-($D166*$H166))</x:f>
      </x:c>
      <x:c r="L166" s="18"/>
      <x:c r="M166" s="18"/>
    </x:row>
    <x:row r="167" ht="15" hidden="0" customHeight="1">
      <x:c r="A167" s="22"/>
      <x:c r="B167" s="18"/>
      <x:c r="C167" s="18"/>
      <x:c r="D167" s="18"/>
      <x:c r="E167" s="18" t="str">
        <x:f>IF($C167="","",XLOOKUP($C167,Products!$A$5:$A$34,Products!$B$5:$B$34,""))</x:f>
      </x:c>
      <x:c r="F167" s="18" t="str">
        <x:f>IF($C167="","",XLOOKUP($C167,Products!$A$5:$A$34,Products!$C$5:$C$34,""))</x:f>
      </x:c>
      <x:c r="G167" s="19" t="str">
        <x:f>IF($C167="","",XLOOKUP($C167,Products!$A$5:$A$34,Products!$F$5:$F$34,""))</x:f>
      </x:c>
      <x:c r="H167" s="19" t="str">
        <x:f>IF($C167="","",XLOOKUP($C167,Products!$A$5:$A$34,Products!$E$5:$E$34,""))</x:f>
      </x:c>
      <x:c r="I167" s="19" t="str">
        <x:f>IF(OR($C167="",$D167=""),"",($D167*$G167))</x:f>
      </x:c>
      <x:c r="J167" s="18"/>
      <x:c r="K167" s="19" t="str">
        <x:f>IF(OR($C167="",$D167=""),"",$I167-($D167*$H167))</x:f>
      </x:c>
      <x:c r="L167" s="18"/>
      <x:c r="M167" s="18"/>
    </x:row>
    <x:row r="168" ht="15" hidden="0" customHeight="1">
      <x:c r="A168" s="22"/>
      <x:c r="B168" s="18"/>
      <x:c r="C168" s="18"/>
      <x:c r="D168" s="18"/>
      <x:c r="E168" s="18" t="str">
        <x:f>IF($C168="","",XLOOKUP($C168,Products!$A$5:$A$34,Products!$B$5:$B$34,""))</x:f>
      </x:c>
      <x:c r="F168" s="18" t="str">
        <x:f>IF($C168="","",XLOOKUP($C168,Products!$A$5:$A$34,Products!$C$5:$C$34,""))</x:f>
      </x:c>
      <x:c r="G168" s="19" t="str">
        <x:f>IF($C168="","",XLOOKUP($C168,Products!$A$5:$A$34,Products!$F$5:$F$34,""))</x:f>
      </x:c>
      <x:c r="H168" s="19" t="str">
        <x:f>IF($C168="","",XLOOKUP($C168,Products!$A$5:$A$34,Products!$E$5:$E$34,""))</x:f>
      </x:c>
      <x:c r="I168" s="19" t="str">
        <x:f>IF(OR($C168="",$D168=""),"",($D168*$G168))</x:f>
      </x:c>
      <x:c r="J168" s="18"/>
      <x:c r="K168" s="19" t="str">
        <x:f>IF(OR($C168="",$D168=""),"",$I168-($D168*$H168))</x:f>
      </x:c>
      <x:c r="L168" s="18"/>
      <x:c r="M168" s="18"/>
    </x:row>
    <x:row r="169" ht="15" hidden="0" customHeight="1">
      <x:c r="A169" s="22"/>
      <x:c r="B169" s="18"/>
      <x:c r="C169" s="18"/>
      <x:c r="D169" s="18"/>
      <x:c r="E169" s="18" t="str">
        <x:f>IF($C169="","",XLOOKUP($C169,Products!$A$5:$A$34,Products!$B$5:$B$34,""))</x:f>
      </x:c>
      <x:c r="F169" s="18" t="str">
        <x:f>IF($C169="","",XLOOKUP($C169,Products!$A$5:$A$34,Products!$C$5:$C$34,""))</x:f>
      </x:c>
      <x:c r="G169" s="19" t="str">
        <x:f>IF($C169="","",XLOOKUP($C169,Products!$A$5:$A$34,Products!$F$5:$F$34,""))</x:f>
      </x:c>
      <x:c r="H169" s="19" t="str">
        <x:f>IF($C169="","",XLOOKUP($C169,Products!$A$5:$A$34,Products!$E$5:$E$34,""))</x:f>
      </x:c>
      <x:c r="I169" s="19" t="str">
        <x:f>IF(OR($C169="",$D169=""),"",($D169*$G169))</x:f>
      </x:c>
      <x:c r="J169" s="18"/>
      <x:c r="K169" s="19" t="str">
        <x:f>IF(OR($C169="",$D169=""),"",$I169-($D169*$H169))</x:f>
      </x:c>
      <x:c r="L169" s="18"/>
      <x:c r="M169" s="18"/>
    </x:row>
    <x:row r="170" ht="15" hidden="0" customHeight="1">
      <x:c r="A170" s="22"/>
      <x:c r="B170" s="18"/>
      <x:c r="C170" s="18"/>
      <x:c r="D170" s="18"/>
      <x:c r="E170" s="18" t="str">
        <x:f>IF($C170="","",XLOOKUP($C170,Products!$A$5:$A$34,Products!$B$5:$B$34,""))</x:f>
      </x:c>
      <x:c r="F170" s="18" t="str">
        <x:f>IF($C170="","",XLOOKUP($C170,Products!$A$5:$A$34,Products!$C$5:$C$34,""))</x:f>
      </x:c>
      <x:c r="G170" s="19" t="str">
        <x:f>IF($C170="","",XLOOKUP($C170,Products!$A$5:$A$34,Products!$F$5:$F$34,""))</x:f>
      </x:c>
      <x:c r="H170" s="19" t="str">
        <x:f>IF($C170="","",XLOOKUP($C170,Products!$A$5:$A$34,Products!$E$5:$E$34,""))</x:f>
      </x:c>
      <x:c r="I170" s="19" t="str">
        <x:f>IF(OR($C170="",$D170=""),"",($D170*$G170))</x:f>
      </x:c>
      <x:c r="J170" s="18"/>
      <x:c r="K170" s="19" t="str">
        <x:f>IF(OR($C170="",$D170=""),"",$I170-($D170*$H170))</x:f>
      </x:c>
      <x:c r="L170" s="18"/>
      <x:c r="M170" s="18"/>
    </x:row>
    <x:row r="171" ht="15" hidden="0" customHeight="1">
      <x:c r="A171" s="22"/>
      <x:c r="B171" s="18"/>
      <x:c r="C171" s="18"/>
      <x:c r="D171" s="18"/>
      <x:c r="E171" s="18" t="str">
        <x:f>IF($C171="","",XLOOKUP($C171,Products!$A$5:$A$34,Products!$B$5:$B$34,""))</x:f>
      </x:c>
      <x:c r="F171" s="18" t="str">
        <x:f>IF($C171="","",XLOOKUP($C171,Products!$A$5:$A$34,Products!$C$5:$C$34,""))</x:f>
      </x:c>
      <x:c r="G171" s="19" t="str">
        <x:f>IF($C171="","",XLOOKUP($C171,Products!$A$5:$A$34,Products!$F$5:$F$34,""))</x:f>
      </x:c>
      <x:c r="H171" s="19" t="str">
        <x:f>IF($C171="","",XLOOKUP($C171,Products!$A$5:$A$34,Products!$E$5:$E$34,""))</x:f>
      </x:c>
      <x:c r="I171" s="19" t="str">
        <x:f>IF(OR($C171="",$D171=""),"",($D171*$G171))</x:f>
      </x:c>
      <x:c r="J171" s="18"/>
      <x:c r="K171" s="19" t="str">
        <x:f>IF(OR($C171="",$D171=""),"",$I171-($D171*$H171))</x:f>
      </x:c>
      <x:c r="L171" s="18"/>
      <x:c r="M171" s="18"/>
    </x:row>
    <x:row r="172" ht="15" hidden="0" customHeight="1">
      <x:c r="A172" s="22"/>
      <x:c r="B172" s="18"/>
      <x:c r="C172" s="18"/>
      <x:c r="D172" s="18"/>
      <x:c r="E172" s="18" t="str">
        <x:f>IF($C172="","",XLOOKUP($C172,Products!$A$5:$A$34,Products!$B$5:$B$34,""))</x:f>
      </x:c>
      <x:c r="F172" s="18" t="str">
        <x:f>IF($C172="","",XLOOKUP($C172,Products!$A$5:$A$34,Products!$C$5:$C$34,""))</x:f>
      </x:c>
      <x:c r="G172" s="19" t="str">
        <x:f>IF($C172="","",XLOOKUP($C172,Products!$A$5:$A$34,Products!$F$5:$F$34,""))</x:f>
      </x:c>
      <x:c r="H172" s="19" t="str">
        <x:f>IF($C172="","",XLOOKUP($C172,Products!$A$5:$A$34,Products!$E$5:$E$34,""))</x:f>
      </x:c>
      <x:c r="I172" s="19" t="str">
        <x:f>IF(OR($C172="",$D172=""),"",($D172*$G172))</x:f>
      </x:c>
      <x:c r="J172" s="18"/>
      <x:c r="K172" s="19" t="str">
        <x:f>IF(OR($C172="",$D172=""),"",$I172-($D172*$H172))</x:f>
      </x:c>
      <x:c r="L172" s="18"/>
      <x:c r="M172" s="18"/>
    </x:row>
    <x:row r="173" ht="15" hidden="0" customHeight="1">
      <x:c r="A173" s="22"/>
      <x:c r="B173" s="18"/>
      <x:c r="C173" s="18"/>
      <x:c r="D173" s="18"/>
      <x:c r="E173" s="18" t="str">
        <x:f>IF($C173="","",XLOOKUP($C173,Products!$A$5:$A$34,Products!$B$5:$B$34,""))</x:f>
      </x:c>
      <x:c r="F173" s="18" t="str">
        <x:f>IF($C173="","",XLOOKUP($C173,Products!$A$5:$A$34,Products!$C$5:$C$34,""))</x:f>
      </x:c>
      <x:c r="G173" s="19" t="str">
        <x:f>IF($C173="","",XLOOKUP($C173,Products!$A$5:$A$34,Products!$F$5:$F$34,""))</x:f>
      </x:c>
      <x:c r="H173" s="19" t="str">
        <x:f>IF($C173="","",XLOOKUP($C173,Products!$A$5:$A$34,Products!$E$5:$E$34,""))</x:f>
      </x:c>
      <x:c r="I173" s="19" t="str">
        <x:f>IF(OR($C173="",$D173=""),"",($D173*$G173))</x:f>
      </x:c>
      <x:c r="J173" s="18"/>
      <x:c r="K173" s="19" t="str">
        <x:f>IF(OR($C173="",$D173=""),"",$I173-($D173*$H173))</x:f>
      </x:c>
      <x:c r="L173" s="18"/>
      <x:c r="M173" s="18"/>
    </x:row>
    <x:row r="174" ht="15" hidden="0" customHeight="1">
      <x:c r="A174" s="22"/>
      <x:c r="B174" s="18"/>
      <x:c r="C174" s="18"/>
      <x:c r="D174" s="18"/>
      <x:c r="E174" s="18" t="str">
        <x:f>IF($C174="","",XLOOKUP($C174,Products!$A$5:$A$34,Products!$B$5:$B$34,""))</x:f>
      </x:c>
      <x:c r="F174" s="18" t="str">
        <x:f>IF($C174="","",XLOOKUP($C174,Products!$A$5:$A$34,Products!$C$5:$C$34,""))</x:f>
      </x:c>
      <x:c r="G174" s="19" t="str">
        <x:f>IF($C174="","",XLOOKUP($C174,Products!$A$5:$A$34,Products!$F$5:$F$34,""))</x:f>
      </x:c>
      <x:c r="H174" s="19" t="str">
        <x:f>IF($C174="","",XLOOKUP($C174,Products!$A$5:$A$34,Products!$E$5:$E$34,""))</x:f>
      </x:c>
      <x:c r="I174" s="19" t="str">
        <x:f>IF(OR($C174="",$D174=""),"",($D174*$G174))</x:f>
      </x:c>
      <x:c r="J174" s="18"/>
      <x:c r="K174" s="19" t="str">
        <x:f>IF(OR($C174="",$D174=""),"",$I174-($D174*$H174))</x:f>
      </x:c>
      <x:c r="L174" s="18"/>
      <x:c r="M174" s="18"/>
    </x:row>
    <x:row r="175" ht="15" hidden="0" customHeight="1">
      <x:c r="A175" s="22"/>
      <x:c r="B175" s="18"/>
      <x:c r="C175" s="18"/>
      <x:c r="D175" s="18"/>
      <x:c r="E175" s="18" t="str">
        <x:f>IF($C175="","",XLOOKUP($C175,Products!$A$5:$A$34,Products!$B$5:$B$34,""))</x:f>
      </x:c>
      <x:c r="F175" s="18" t="str">
        <x:f>IF($C175="","",XLOOKUP($C175,Products!$A$5:$A$34,Products!$C$5:$C$34,""))</x:f>
      </x:c>
      <x:c r="G175" s="19" t="str">
        <x:f>IF($C175="","",XLOOKUP($C175,Products!$A$5:$A$34,Products!$F$5:$F$34,""))</x:f>
      </x:c>
      <x:c r="H175" s="19" t="str">
        <x:f>IF($C175="","",XLOOKUP($C175,Products!$A$5:$A$34,Products!$E$5:$E$34,""))</x:f>
      </x:c>
      <x:c r="I175" s="19" t="str">
        <x:f>IF(OR($C175="",$D175=""),"",($D175*$G175))</x:f>
      </x:c>
      <x:c r="J175" s="18"/>
      <x:c r="K175" s="19" t="str">
        <x:f>IF(OR($C175="",$D175=""),"",$I175-($D175*$H175))</x:f>
      </x:c>
      <x:c r="L175" s="18"/>
      <x:c r="M175" s="18"/>
    </x:row>
    <x:row r="176" ht="15" hidden="0" customHeight="1">
      <x:c r="A176" s="22"/>
      <x:c r="B176" s="18"/>
      <x:c r="C176" s="18"/>
      <x:c r="D176" s="18"/>
      <x:c r="E176" s="18" t="str">
        <x:f>IF($C176="","",XLOOKUP($C176,Products!$A$5:$A$34,Products!$B$5:$B$34,""))</x:f>
      </x:c>
      <x:c r="F176" s="18" t="str">
        <x:f>IF($C176="","",XLOOKUP($C176,Products!$A$5:$A$34,Products!$C$5:$C$34,""))</x:f>
      </x:c>
      <x:c r="G176" s="19" t="str">
        <x:f>IF($C176="","",XLOOKUP($C176,Products!$A$5:$A$34,Products!$F$5:$F$34,""))</x:f>
      </x:c>
      <x:c r="H176" s="19" t="str">
        <x:f>IF($C176="","",XLOOKUP($C176,Products!$A$5:$A$34,Products!$E$5:$E$34,""))</x:f>
      </x:c>
      <x:c r="I176" s="19" t="str">
        <x:f>IF(OR($C176="",$D176=""),"",($D176*$G176))</x:f>
      </x:c>
      <x:c r="J176" s="18"/>
      <x:c r="K176" s="19" t="str">
        <x:f>IF(OR($C176="",$D176=""),"",$I176-($D176*$H176))</x:f>
      </x:c>
      <x:c r="L176" s="18"/>
      <x:c r="M176" s="18"/>
    </x:row>
    <x:row r="177" ht="15" hidden="0" customHeight="1">
      <x:c r="A177" s="22"/>
      <x:c r="B177" s="18"/>
      <x:c r="C177" s="18"/>
      <x:c r="D177" s="18"/>
      <x:c r="E177" s="18" t="str">
        <x:f>IF($C177="","",XLOOKUP($C177,Products!$A$5:$A$34,Products!$B$5:$B$34,""))</x:f>
      </x:c>
      <x:c r="F177" s="18" t="str">
        <x:f>IF($C177="","",XLOOKUP($C177,Products!$A$5:$A$34,Products!$C$5:$C$34,""))</x:f>
      </x:c>
      <x:c r="G177" s="19" t="str">
        <x:f>IF($C177="","",XLOOKUP($C177,Products!$A$5:$A$34,Products!$F$5:$F$34,""))</x:f>
      </x:c>
      <x:c r="H177" s="19" t="str">
        <x:f>IF($C177="","",XLOOKUP($C177,Products!$A$5:$A$34,Products!$E$5:$E$34,""))</x:f>
      </x:c>
      <x:c r="I177" s="19" t="str">
        <x:f>IF(OR($C177="",$D177=""),"",($D177*$G177))</x:f>
      </x:c>
      <x:c r="J177" s="18"/>
      <x:c r="K177" s="19" t="str">
        <x:f>IF(OR($C177="",$D177=""),"",$I177-($D177*$H177))</x:f>
      </x:c>
      <x:c r="L177" s="18"/>
      <x:c r="M177" s="18"/>
    </x:row>
    <x:row r="178" ht="15" hidden="0" customHeight="1">
      <x:c r="A178" s="22"/>
      <x:c r="B178" s="18"/>
      <x:c r="C178" s="18"/>
      <x:c r="D178" s="18"/>
      <x:c r="E178" s="18" t="str">
        <x:f>IF($C178="","",XLOOKUP($C178,Products!$A$5:$A$34,Products!$B$5:$B$34,""))</x:f>
      </x:c>
      <x:c r="F178" s="18" t="str">
        <x:f>IF($C178="","",XLOOKUP($C178,Products!$A$5:$A$34,Products!$C$5:$C$34,""))</x:f>
      </x:c>
      <x:c r="G178" s="19" t="str">
        <x:f>IF($C178="","",XLOOKUP($C178,Products!$A$5:$A$34,Products!$F$5:$F$34,""))</x:f>
      </x:c>
      <x:c r="H178" s="19" t="str">
        <x:f>IF($C178="","",XLOOKUP($C178,Products!$A$5:$A$34,Products!$E$5:$E$34,""))</x:f>
      </x:c>
      <x:c r="I178" s="19" t="str">
        <x:f>IF(OR($C178="",$D178=""),"",($D178*$G178))</x:f>
      </x:c>
      <x:c r="J178" s="18"/>
      <x:c r="K178" s="19" t="str">
        <x:f>IF(OR($C178="",$D178=""),"",$I178-($D178*$H178))</x:f>
      </x:c>
      <x:c r="L178" s="18"/>
      <x:c r="M178" s="18"/>
    </x:row>
    <x:row r="179" ht="15" hidden="0" customHeight="1">
      <x:c r="A179" s="22"/>
      <x:c r="B179" s="18"/>
      <x:c r="C179" s="18"/>
      <x:c r="D179" s="18"/>
      <x:c r="E179" s="18" t="str">
        <x:f>IF($C179="","",XLOOKUP($C179,Products!$A$5:$A$34,Products!$B$5:$B$34,""))</x:f>
      </x:c>
      <x:c r="F179" s="18" t="str">
        <x:f>IF($C179="","",XLOOKUP($C179,Products!$A$5:$A$34,Products!$C$5:$C$34,""))</x:f>
      </x:c>
      <x:c r="G179" s="19" t="str">
        <x:f>IF($C179="","",XLOOKUP($C179,Products!$A$5:$A$34,Products!$F$5:$F$34,""))</x:f>
      </x:c>
      <x:c r="H179" s="19" t="str">
        <x:f>IF($C179="","",XLOOKUP($C179,Products!$A$5:$A$34,Products!$E$5:$E$34,""))</x:f>
      </x:c>
      <x:c r="I179" s="19" t="str">
        <x:f>IF(OR($C179="",$D179=""),"",($D179*$G179))</x:f>
      </x:c>
      <x:c r="J179" s="18"/>
      <x:c r="K179" s="19" t="str">
        <x:f>IF(OR($C179="",$D179=""),"",$I179-($D179*$H179))</x:f>
      </x:c>
      <x:c r="L179" s="18"/>
      <x:c r="M179" s="18"/>
    </x:row>
    <x:row r="180" ht="15" hidden="0" customHeight="1">
      <x:c r="A180" s="22"/>
      <x:c r="B180" s="18"/>
      <x:c r="C180" s="18"/>
      <x:c r="D180" s="18"/>
      <x:c r="E180" s="18" t="str">
        <x:f>IF($C180="","",XLOOKUP($C180,Products!$A$5:$A$34,Products!$B$5:$B$34,""))</x:f>
      </x:c>
      <x:c r="F180" s="18" t="str">
        <x:f>IF($C180="","",XLOOKUP($C180,Products!$A$5:$A$34,Products!$C$5:$C$34,""))</x:f>
      </x:c>
      <x:c r="G180" s="19" t="str">
        <x:f>IF($C180="","",XLOOKUP($C180,Products!$A$5:$A$34,Products!$F$5:$F$34,""))</x:f>
      </x:c>
      <x:c r="H180" s="19" t="str">
        <x:f>IF($C180="","",XLOOKUP($C180,Products!$A$5:$A$34,Products!$E$5:$E$34,""))</x:f>
      </x:c>
      <x:c r="I180" s="19" t="str">
        <x:f>IF(OR($C180="",$D180=""),"",($D180*$G180))</x:f>
      </x:c>
      <x:c r="J180" s="18"/>
      <x:c r="K180" s="19" t="str">
        <x:f>IF(OR($C180="",$D180=""),"",$I180-($D180*$H180))</x:f>
      </x:c>
      <x:c r="L180" s="18"/>
      <x:c r="M180" s="18"/>
    </x:row>
    <x:row r="181" ht="15" hidden="0" customHeight="1">
      <x:c r="A181" s="22"/>
      <x:c r="B181" s="18"/>
      <x:c r="C181" s="18"/>
      <x:c r="D181" s="18"/>
      <x:c r="E181" s="18" t="str">
        <x:f>IF($C181="","",XLOOKUP($C181,Products!$A$5:$A$34,Products!$B$5:$B$34,""))</x:f>
      </x:c>
      <x:c r="F181" s="18" t="str">
        <x:f>IF($C181="","",XLOOKUP($C181,Products!$A$5:$A$34,Products!$C$5:$C$34,""))</x:f>
      </x:c>
      <x:c r="G181" s="19" t="str">
        <x:f>IF($C181="","",XLOOKUP($C181,Products!$A$5:$A$34,Products!$F$5:$F$34,""))</x:f>
      </x:c>
      <x:c r="H181" s="19" t="str">
        <x:f>IF($C181="","",XLOOKUP($C181,Products!$A$5:$A$34,Products!$E$5:$E$34,""))</x:f>
      </x:c>
      <x:c r="I181" s="19" t="str">
        <x:f>IF(OR($C181="",$D181=""),"",($D181*$G181))</x:f>
      </x:c>
      <x:c r="J181" s="18"/>
      <x:c r="K181" s="19" t="str">
        <x:f>IF(OR($C181="",$D181=""),"",$I181-($D181*$H181))</x:f>
      </x:c>
      <x:c r="L181" s="18"/>
      <x:c r="M181" s="18"/>
    </x:row>
    <x:row r="182" ht="15" hidden="0" customHeight="1">
      <x:c r="A182" s="22"/>
      <x:c r="B182" s="18"/>
      <x:c r="C182" s="18"/>
      <x:c r="D182" s="18"/>
      <x:c r="E182" s="18" t="str">
        <x:f>IF($C182="","",XLOOKUP($C182,Products!$A$5:$A$34,Products!$B$5:$B$34,""))</x:f>
      </x:c>
      <x:c r="F182" s="18" t="str">
        <x:f>IF($C182="","",XLOOKUP($C182,Products!$A$5:$A$34,Products!$C$5:$C$34,""))</x:f>
      </x:c>
      <x:c r="G182" s="19" t="str">
        <x:f>IF($C182="","",XLOOKUP($C182,Products!$A$5:$A$34,Products!$F$5:$F$34,""))</x:f>
      </x:c>
      <x:c r="H182" s="19" t="str">
        <x:f>IF($C182="","",XLOOKUP($C182,Products!$A$5:$A$34,Products!$E$5:$E$34,""))</x:f>
      </x:c>
      <x:c r="I182" s="19" t="str">
        <x:f>IF(OR($C182="",$D182=""),"",($D182*$G182))</x:f>
      </x:c>
      <x:c r="J182" s="18"/>
      <x:c r="K182" s="19" t="str">
        <x:f>IF(OR($C182="",$D182=""),"",$I182-($D182*$H182))</x:f>
      </x:c>
      <x:c r="L182" s="18"/>
      <x:c r="M182" s="18"/>
    </x:row>
    <x:row r="183" ht="15" hidden="0" customHeight="1">
      <x:c r="A183" s="22"/>
      <x:c r="B183" s="18"/>
      <x:c r="C183" s="18"/>
      <x:c r="D183" s="18"/>
      <x:c r="E183" s="18" t="str">
        <x:f>IF($C183="","",XLOOKUP($C183,Products!$A$5:$A$34,Products!$B$5:$B$34,""))</x:f>
      </x:c>
      <x:c r="F183" s="18" t="str">
        <x:f>IF($C183="","",XLOOKUP($C183,Products!$A$5:$A$34,Products!$C$5:$C$34,""))</x:f>
      </x:c>
      <x:c r="G183" s="19" t="str">
        <x:f>IF($C183="","",XLOOKUP($C183,Products!$A$5:$A$34,Products!$F$5:$F$34,""))</x:f>
      </x:c>
      <x:c r="H183" s="19" t="str">
        <x:f>IF($C183="","",XLOOKUP($C183,Products!$A$5:$A$34,Products!$E$5:$E$34,""))</x:f>
      </x:c>
      <x:c r="I183" s="19" t="str">
        <x:f>IF(OR($C183="",$D183=""),"",($D183*$G183))</x:f>
      </x:c>
      <x:c r="J183" s="18"/>
      <x:c r="K183" s="19" t="str">
        <x:f>IF(OR($C183="",$D183=""),"",$I183-($D183*$H183))</x:f>
      </x:c>
      <x:c r="L183" s="18"/>
      <x:c r="M183" s="18"/>
    </x:row>
    <x:row r="184" ht="15" hidden="0" customHeight="1">
      <x:c r="A184" s="22"/>
      <x:c r="B184" s="18"/>
      <x:c r="C184" s="18"/>
      <x:c r="D184" s="18"/>
      <x:c r="E184" s="18" t="str">
        <x:f>IF($C184="","",XLOOKUP($C184,Products!$A$5:$A$34,Products!$B$5:$B$34,""))</x:f>
      </x:c>
      <x:c r="F184" s="18" t="str">
        <x:f>IF($C184="","",XLOOKUP($C184,Products!$A$5:$A$34,Products!$C$5:$C$34,""))</x:f>
      </x:c>
      <x:c r="G184" s="19" t="str">
        <x:f>IF($C184="","",XLOOKUP($C184,Products!$A$5:$A$34,Products!$F$5:$F$34,""))</x:f>
      </x:c>
      <x:c r="H184" s="19" t="str">
        <x:f>IF($C184="","",XLOOKUP($C184,Products!$A$5:$A$34,Products!$E$5:$E$34,""))</x:f>
      </x:c>
      <x:c r="I184" s="19" t="str">
        <x:f>IF(OR($C184="",$D184=""),"",($D184*$G184))</x:f>
      </x:c>
      <x:c r="J184" s="18"/>
      <x:c r="K184" s="19" t="str">
        <x:f>IF(OR($C184="",$D184=""),"",$I184-($D184*$H184))</x:f>
      </x:c>
      <x:c r="L184" s="18"/>
      <x:c r="M184" s="18"/>
    </x:row>
    <x:row r="185" ht="15" hidden="0" customHeight="1">
      <x:c r="A185" s="22"/>
      <x:c r="B185" s="18"/>
      <x:c r="C185" s="18"/>
      <x:c r="D185" s="18"/>
      <x:c r="E185" s="18" t="str">
        <x:f>IF($C185="","",XLOOKUP($C185,Products!$A$5:$A$34,Products!$B$5:$B$34,""))</x:f>
      </x:c>
      <x:c r="F185" s="18" t="str">
        <x:f>IF($C185="","",XLOOKUP($C185,Products!$A$5:$A$34,Products!$C$5:$C$34,""))</x:f>
      </x:c>
      <x:c r="G185" s="19" t="str">
        <x:f>IF($C185="","",XLOOKUP($C185,Products!$A$5:$A$34,Products!$F$5:$F$34,""))</x:f>
      </x:c>
      <x:c r="H185" s="19" t="str">
        <x:f>IF($C185="","",XLOOKUP($C185,Products!$A$5:$A$34,Products!$E$5:$E$34,""))</x:f>
      </x:c>
      <x:c r="I185" s="19" t="str">
        <x:f>IF(OR($C185="",$D185=""),"",($D185*$G185))</x:f>
      </x:c>
      <x:c r="J185" s="18"/>
      <x:c r="K185" s="19" t="str">
        <x:f>IF(OR($C185="",$D185=""),"",$I185-($D185*$H185))</x:f>
      </x:c>
      <x:c r="L185" s="18"/>
      <x:c r="M185" s="18"/>
    </x:row>
    <x:row r="186" ht="15" hidden="0" customHeight="1">
      <x:c r="A186" s="22"/>
      <x:c r="B186" s="18"/>
      <x:c r="C186" s="18"/>
      <x:c r="D186" s="18"/>
      <x:c r="E186" s="18" t="str">
        <x:f>IF($C186="","",XLOOKUP($C186,Products!$A$5:$A$34,Products!$B$5:$B$34,""))</x:f>
      </x:c>
      <x:c r="F186" s="18" t="str">
        <x:f>IF($C186="","",XLOOKUP($C186,Products!$A$5:$A$34,Products!$C$5:$C$34,""))</x:f>
      </x:c>
      <x:c r="G186" s="19" t="str">
        <x:f>IF($C186="","",XLOOKUP($C186,Products!$A$5:$A$34,Products!$F$5:$F$34,""))</x:f>
      </x:c>
      <x:c r="H186" s="19" t="str">
        <x:f>IF($C186="","",XLOOKUP($C186,Products!$A$5:$A$34,Products!$E$5:$E$34,""))</x:f>
      </x:c>
      <x:c r="I186" s="19" t="str">
        <x:f>IF(OR($C186="",$D186=""),"",($D186*$G186))</x:f>
      </x:c>
      <x:c r="J186" s="18"/>
      <x:c r="K186" s="19" t="str">
        <x:f>IF(OR($C186="",$D186=""),"",$I186-($D186*$H186))</x:f>
      </x:c>
      <x:c r="L186" s="18"/>
      <x:c r="M186" s="18"/>
    </x:row>
    <x:row r="187" ht="15" hidden="0" customHeight="1">
      <x:c r="A187" s="22"/>
      <x:c r="B187" s="18"/>
      <x:c r="C187" s="18"/>
      <x:c r="D187" s="18"/>
      <x:c r="E187" s="18" t="str">
        <x:f>IF($C187="","",XLOOKUP($C187,Products!$A$5:$A$34,Products!$B$5:$B$34,""))</x:f>
      </x:c>
      <x:c r="F187" s="18" t="str">
        <x:f>IF($C187="","",XLOOKUP($C187,Products!$A$5:$A$34,Products!$C$5:$C$34,""))</x:f>
      </x:c>
      <x:c r="G187" s="19" t="str">
        <x:f>IF($C187="","",XLOOKUP($C187,Products!$A$5:$A$34,Products!$F$5:$F$34,""))</x:f>
      </x:c>
      <x:c r="H187" s="19" t="str">
        <x:f>IF($C187="","",XLOOKUP($C187,Products!$A$5:$A$34,Products!$E$5:$E$34,""))</x:f>
      </x:c>
      <x:c r="I187" s="19" t="str">
        <x:f>IF(OR($C187="",$D187=""),"",($D187*$G187))</x:f>
      </x:c>
      <x:c r="J187" s="18"/>
      <x:c r="K187" s="19" t="str">
        <x:f>IF(OR($C187="",$D187=""),"",$I187-($D187*$H187))</x:f>
      </x:c>
      <x:c r="L187" s="18"/>
      <x:c r="M187" s="18"/>
    </x:row>
    <x:row r="188" ht="15" hidden="0" customHeight="1">
      <x:c r="A188" s="22"/>
      <x:c r="B188" s="18"/>
      <x:c r="C188" s="18"/>
      <x:c r="D188" s="18"/>
      <x:c r="E188" s="18" t="str">
        <x:f>IF($C188="","",XLOOKUP($C188,Products!$A$5:$A$34,Products!$B$5:$B$34,""))</x:f>
      </x:c>
      <x:c r="F188" s="18" t="str">
        <x:f>IF($C188="","",XLOOKUP($C188,Products!$A$5:$A$34,Products!$C$5:$C$34,""))</x:f>
      </x:c>
      <x:c r="G188" s="19" t="str">
        <x:f>IF($C188="","",XLOOKUP($C188,Products!$A$5:$A$34,Products!$F$5:$F$34,""))</x:f>
      </x:c>
      <x:c r="H188" s="19" t="str">
        <x:f>IF($C188="","",XLOOKUP($C188,Products!$A$5:$A$34,Products!$E$5:$E$34,""))</x:f>
      </x:c>
      <x:c r="I188" s="19" t="str">
        <x:f>IF(OR($C188="",$D188=""),"",($D188*$G188))</x:f>
      </x:c>
      <x:c r="J188" s="18"/>
      <x:c r="K188" s="19" t="str">
        <x:f>IF(OR($C188="",$D188=""),"",$I188-($D188*$H188))</x:f>
      </x:c>
      <x:c r="L188" s="18"/>
      <x:c r="M188" s="18"/>
    </x:row>
    <x:row r="189" ht="15" hidden="0" customHeight="1">
      <x:c r="A189" s="22"/>
      <x:c r="B189" s="18"/>
      <x:c r="C189" s="18"/>
      <x:c r="D189" s="18"/>
      <x:c r="E189" s="18" t="str">
        <x:f>IF($C189="","",XLOOKUP($C189,Products!$A$5:$A$34,Products!$B$5:$B$34,""))</x:f>
      </x:c>
      <x:c r="F189" s="18" t="str">
        <x:f>IF($C189="","",XLOOKUP($C189,Products!$A$5:$A$34,Products!$C$5:$C$34,""))</x:f>
      </x:c>
      <x:c r="G189" s="19" t="str">
        <x:f>IF($C189="","",XLOOKUP($C189,Products!$A$5:$A$34,Products!$F$5:$F$34,""))</x:f>
      </x:c>
      <x:c r="H189" s="19" t="str">
        <x:f>IF($C189="","",XLOOKUP($C189,Products!$A$5:$A$34,Products!$E$5:$E$34,""))</x:f>
      </x:c>
      <x:c r="I189" s="19" t="str">
        <x:f>IF(OR($C189="",$D189=""),"",($D189*$G189))</x:f>
      </x:c>
      <x:c r="J189" s="18"/>
      <x:c r="K189" s="19" t="str">
        <x:f>IF(OR($C189="",$D189=""),"",$I189-($D189*$H189))</x:f>
      </x:c>
      <x:c r="L189" s="18"/>
      <x:c r="M189" s="18"/>
    </x:row>
    <x:row r="190" ht="15" hidden="0" customHeight="1">
      <x:c r="A190" s="22"/>
      <x:c r="B190" s="18"/>
      <x:c r="C190" s="18"/>
      <x:c r="D190" s="18"/>
      <x:c r="E190" s="18" t="str">
        <x:f>IF($C190="","",XLOOKUP($C190,Products!$A$5:$A$34,Products!$B$5:$B$34,""))</x:f>
      </x:c>
      <x:c r="F190" s="18" t="str">
        <x:f>IF($C190="","",XLOOKUP($C190,Products!$A$5:$A$34,Products!$C$5:$C$34,""))</x:f>
      </x:c>
      <x:c r="G190" s="19" t="str">
        <x:f>IF($C190="","",XLOOKUP($C190,Products!$A$5:$A$34,Products!$F$5:$F$34,""))</x:f>
      </x:c>
      <x:c r="H190" s="19" t="str">
        <x:f>IF($C190="","",XLOOKUP($C190,Products!$A$5:$A$34,Products!$E$5:$E$34,""))</x:f>
      </x:c>
      <x:c r="I190" s="19" t="str">
        <x:f>IF(OR($C190="",$D190=""),"",($D190*$G190))</x:f>
      </x:c>
      <x:c r="J190" s="18"/>
      <x:c r="K190" s="19" t="str">
        <x:f>IF(OR($C190="",$D190=""),"",$I190-($D190*$H190))</x:f>
      </x:c>
      <x:c r="L190" s="18"/>
      <x:c r="M190" s="18"/>
    </x:row>
    <x:row r="191" ht="15" hidden="0" customHeight="1">
      <x:c r="A191" s="22"/>
      <x:c r="B191" s="18"/>
      <x:c r="C191" s="18"/>
      <x:c r="D191" s="18"/>
      <x:c r="E191" s="18" t="str">
        <x:f>IF($C191="","",XLOOKUP($C191,Products!$A$5:$A$34,Products!$B$5:$B$34,""))</x:f>
      </x:c>
      <x:c r="F191" s="18" t="str">
        <x:f>IF($C191="","",XLOOKUP($C191,Products!$A$5:$A$34,Products!$C$5:$C$34,""))</x:f>
      </x:c>
      <x:c r="G191" s="19" t="str">
        <x:f>IF($C191="","",XLOOKUP($C191,Products!$A$5:$A$34,Products!$F$5:$F$34,""))</x:f>
      </x:c>
      <x:c r="H191" s="19" t="str">
        <x:f>IF($C191="","",XLOOKUP($C191,Products!$A$5:$A$34,Products!$E$5:$E$34,""))</x:f>
      </x:c>
      <x:c r="I191" s="19" t="str">
        <x:f>IF(OR($C191="",$D191=""),"",($D191*$G191))</x:f>
      </x:c>
      <x:c r="J191" s="18"/>
      <x:c r="K191" s="19" t="str">
        <x:f>IF(OR($C191="",$D191=""),"",$I191-($D191*$H191))</x:f>
      </x:c>
      <x:c r="L191" s="18"/>
      <x:c r="M191" s="18"/>
    </x:row>
    <x:row r="192" ht="15" hidden="0" customHeight="1">
      <x:c r="A192" s="22"/>
      <x:c r="B192" s="18"/>
      <x:c r="C192" s="18"/>
      <x:c r="D192" s="18"/>
      <x:c r="E192" s="18" t="str">
        <x:f>IF($C192="","",XLOOKUP($C192,Products!$A$5:$A$34,Products!$B$5:$B$34,""))</x:f>
      </x:c>
      <x:c r="F192" s="18" t="str">
        <x:f>IF($C192="","",XLOOKUP($C192,Products!$A$5:$A$34,Products!$C$5:$C$34,""))</x:f>
      </x:c>
      <x:c r="G192" s="19" t="str">
        <x:f>IF($C192="","",XLOOKUP($C192,Products!$A$5:$A$34,Products!$F$5:$F$34,""))</x:f>
      </x:c>
      <x:c r="H192" s="19" t="str">
        <x:f>IF($C192="","",XLOOKUP($C192,Products!$A$5:$A$34,Products!$E$5:$E$34,""))</x:f>
      </x:c>
      <x:c r="I192" s="19" t="str">
        <x:f>IF(OR($C192="",$D192=""),"",($D192*$G192))</x:f>
      </x:c>
      <x:c r="J192" s="18"/>
      <x:c r="K192" s="19" t="str">
        <x:f>IF(OR($C192="",$D192=""),"",$I192-($D192*$H192))</x:f>
      </x:c>
      <x:c r="L192" s="18"/>
      <x:c r="M192" s="18"/>
    </x:row>
    <x:row r="193" ht="15" hidden="0" customHeight="1">
      <x:c r="A193" s="22"/>
      <x:c r="B193" s="18"/>
      <x:c r="C193" s="18"/>
      <x:c r="D193" s="18"/>
      <x:c r="E193" s="18" t="str">
        <x:f>IF($C193="","",XLOOKUP($C193,Products!$A$5:$A$34,Products!$B$5:$B$34,""))</x:f>
      </x:c>
      <x:c r="F193" s="18" t="str">
        <x:f>IF($C193="","",XLOOKUP($C193,Products!$A$5:$A$34,Products!$C$5:$C$34,""))</x:f>
      </x:c>
      <x:c r="G193" s="19" t="str">
        <x:f>IF($C193="","",XLOOKUP($C193,Products!$A$5:$A$34,Products!$F$5:$F$34,""))</x:f>
      </x:c>
      <x:c r="H193" s="19" t="str">
        <x:f>IF($C193="","",XLOOKUP($C193,Products!$A$5:$A$34,Products!$E$5:$E$34,""))</x:f>
      </x:c>
      <x:c r="I193" s="19" t="str">
        <x:f>IF(OR($C193="",$D193=""),"",($D193*$G193))</x:f>
      </x:c>
      <x:c r="J193" s="18"/>
      <x:c r="K193" s="19" t="str">
        <x:f>IF(OR($C193="",$D193=""),"",$I193-($D193*$H193))</x:f>
      </x:c>
      <x:c r="L193" s="18"/>
      <x:c r="M193" s="18"/>
    </x:row>
    <x:row r="194" ht="15" hidden="0" customHeight="1">
      <x:c r="A194" s="22"/>
      <x:c r="B194" s="18"/>
      <x:c r="C194" s="18"/>
      <x:c r="D194" s="18"/>
      <x:c r="E194" s="18" t="str">
        <x:f>IF($C194="","",XLOOKUP($C194,Products!$A$5:$A$34,Products!$B$5:$B$34,""))</x:f>
      </x:c>
      <x:c r="F194" s="18" t="str">
        <x:f>IF($C194="","",XLOOKUP($C194,Products!$A$5:$A$34,Products!$C$5:$C$34,""))</x:f>
      </x:c>
      <x:c r="G194" s="19" t="str">
        <x:f>IF($C194="","",XLOOKUP($C194,Products!$A$5:$A$34,Products!$F$5:$F$34,""))</x:f>
      </x:c>
      <x:c r="H194" s="19" t="str">
        <x:f>IF($C194="","",XLOOKUP($C194,Products!$A$5:$A$34,Products!$E$5:$E$34,""))</x:f>
      </x:c>
      <x:c r="I194" s="19" t="str">
        <x:f>IF(OR($C194="",$D194=""),"",($D194*$G194))</x:f>
      </x:c>
      <x:c r="J194" s="18"/>
      <x:c r="K194" s="19" t="str">
        <x:f>IF(OR($C194="",$D194=""),"",$I194-($D194*$H194))</x:f>
      </x:c>
      <x:c r="L194" s="18"/>
      <x:c r="M194" s="18"/>
    </x:row>
    <x:row r="195" ht="15" hidden="0" customHeight="1">
      <x:c r="A195" s="22"/>
      <x:c r="B195" s="18"/>
      <x:c r="C195" s="18"/>
      <x:c r="D195" s="18"/>
      <x:c r="E195" s="18" t="str">
        <x:f>IF($C195="","",XLOOKUP($C195,Products!$A$5:$A$34,Products!$B$5:$B$34,""))</x:f>
      </x:c>
      <x:c r="F195" s="18" t="str">
        <x:f>IF($C195="","",XLOOKUP($C195,Products!$A$5:$A$34,Products!$C$5:$C$34,""))</x:f>
      </x:c>
      <x:c r="G195" s="19" t="str">
        <x:f>IF($C195="","",XLOOKUP($C195,Products!$A$5:$A$34,Products!$F$5:$F$34,""))</x:f>
      </x:c>
      <x:c r="H195" s="19" t="str">
        <x:f>IF($C195="","",XLOOKUP($C195,Products!$A$5:$A$34,Products!$E$5:$E$34,""))</x:f>
      </x:c>
      <x:c r="I195" s="19" t="str">
        <x:f>IF(OR($C195="",$D195=""),"",($D195*$G195))</x:f>
      </x:c>
      <x:c r="J195" s="18"/>
      <x:c r="K195" s="19" t="str">
        <x:f>IF(OR($C195="",$D195=""),"",$I195-($D195*$H195))</x:f>
      </x:c>
      <x:c r="L195" s="18"/>
      <x:c r="M195" s="18"/>
    </x:row>
    <x:row r="196" ht="15" hidden="0" customHeight="1">
      <x:c r="A196" s="22"/>
      <x:c r="B196" s="18"/>
      <x:c r="C196" s="18"/>
      <x:c r="D196" s="18"/>
      <x:c r="E196" s="18" t="str">
        <x:f>IF($C196="","",XLOOKUP($C196,Products!$A$5:$A$34,Products!$B$5:$B$34,""))</x:f>
      </x:c>
      <x:c r="F196" s="18" t="str">
        <x:f>IF($C196="","",XLOOKUP($C196,Products!$A$5:$A$34,Products!$C$5:$C$34,""))</x:f>
      </x:c>
      <x:c r="G196" s="19" t="str">
        <x:f>IF($C196="","",XLOOKUP($C196,Products!$A$5:$A$34,Products!$F$5:$F$34,""))</x:f>
      </x:c>
      <x:c r="H196" s="19" t="str">
        <x:f>IF($C196="","",XLOOKUP($C196,Products!$A$5:$A$34,Products!$E$5:$E$34,""))</x:f>
      </x:c>
      <x:c r="I196" s="19" t="str">
        <x:f>IF(OR($C196="",$D196=""),"",($D196*$G196))</x:f>
      </x:c>
      <x:c r="J196" s="18"/>
      <x:c r="K196" s="19" t="str">
        <x:f>IF(OR($C196="",$D196=""),"",$I196-($D196*$H196))</x:f>
      </x:c>
      <x:c r="L196" s="18"/>
      <x:c r="M196" s="18"/>
    </x:row>
    <x:row r="197" ht="15" hidden="0" customHeight="1">
      <x:c r="A197" s="22"/>
      <x:c r="B197" s="18"/>
      <x:c r="C197" s="18"/>
      <x:c r="D197" s="18"/>
      <x:c r="E197" s="18" t="str">
        <x:f>IF($C197="","",XLOOKUP($C197,Products!$A$5:$A$34,Products!$B$5:$B$34,""))</x:f>
      </x:c>
      <x:c r="F197" s="18" t="str">
        <x:f>IF($C197="","",XLOOKUP($C197,Products!$A$5:$A$34,Products!$C$5:$C$34,""))</x:f>
      </x:c>
      <x:c r="G197" s="19" t="str">
        <x:f>IF($C197="","",XLOOKUP($C197,Products!$A$5:$A$34,Products!$F$5:$F$34,""))</x:f>
      </x:c>
      <x:c r="H197" s="19" t="str">
        <x:f>IF($C197="","",XLOOKUP($C197,Products!$A$5:$A$34,Products!$E$5:$E$34,""))</x:f>
      </x:c>
      <x:c r="I197" s="19" t="str">
        <x:f>IF(OR($C197="",$D197=""),"",($D197*$G197))</x:f>
      </x:c>
      <x:c r="J197" s="18"/>
      <x:c r="K197" s="19" t="str">
        <x:f>IF(OR($C197="",$D197=""),"",$I197-($D197*$H197))</x:f>
      </x:c>
      <x:c r="L197" s="18"/>
      <x:c r="M197" s="18"/>
    </x:row>
    <x:row r="198" ht="15" hidden="0" customHeight="1">
      <x:c r="A198" s="22"/>
      <x:c r="B198" s="18"/>
      <x:c r="C198" s="18"/>
      <x:c r="D198" s="18"/>
      <x:c r="E198" s="18" t="str">
        <x:f>IF($C198="","",XLOOKUP($C198,Products!$A$5:$A$34,Products!$B$5:$B$34,""))</x:f>
      </x:c>
      <x:c r="F198" s="18" t="str">
        <x:f>IF($C198="","",XLOOKUP($C198,Products!$A$5:$A$34,Products!$C$5:$C$34,""))</x:f>
      </x:c>
      <x:c r="G198" s="19" t="str">
        <x:f>IF($C198="","",XLOOKUP($C198,Products!$A$5:$A$34,Products!$F$5:$F$34,""))</x:f>
      </x:c>
      <x:c r="H198" s="19" t="str">
        <x:f>IF($C198="","",XLOOKUP($C198,Products!$A$5:$A$34,Products!$E$5:$E$34,""))</x:f>
      </x:c>
      <x:c r="I198" s="19" t="str">
        <x:f>IF(OR($C198="",$D198=""),"",($D198*$G198))</x:f>
      </x:c>
      <x:c r="J198" s="18"/>
      <x:c r="K198" s="19" t="str">
        <x:f>IF(OR($C198="",$D198=""),"",$I198-($D198*$H198))</x:f>
      </x:c>
      <x:c r="L198" s="18"/>
      <x:c r="M198" s="18"/>
    </x:row>
    <x:row r="199" ht="15" hidden="0" customHeight="1">
      <x:c r="A199" s="22"/>
      <x:c r="B199" s="18"/>
      <x:c r="C199" s="18"/>
      <x:c r="D199" s="18"/>
      <x:c r="E199" s="18" t="str">
        <x:f>IF($C199="","",XLOOKUP($C199,Products!$A$5:$A$34,Products!$B$5:$B$34,""))</x:f>
      </x:c>
      <x:c r="F199" s="18" t="str">
        <x:f>IF($C199="","",XLOOKUP($C199,Products!$A$5:$A$34,Products!$C$5:$C$34,""))</x:f>
      </x:c>
      <x:c r="G199" s="19" t="str">
        <x:f>IF($C199="","",XLOOKUP($C199,Products!$A$5:$A$34,Products!$F$5:$F$34,""))</x:f>
      </x:c>
      <x:c r="H199" s="19" t="str">
        <x:f>IF($C199="","",XLOOKUP($C199,Products!$A$5:$A$34,Products!$E$5:$E$34,""))</x:f>
      </x:c>
      <x:c r="I199" s="19" t="str">
        <x:f>IF(OR($C199="",$D199=""),"",($D199*$G199))</x:f>
      </x:c>
      <x:c r="J199" s="18"/>
      <x:c r="K199" s="19" t="str">
        <x:f>IF(OR($C199="",$D199=""),"",$I199-($D199*$H199))</x:f>
      </x:c>
      <x:c r="L199" s="18"/>
      <x:c r="M199" s="18"/>
    </x:row>
    <x:row r="200" ht="15" hidden="0" customHeight="1">
      <x:c r="A200" s="22"/>
      <x:c r="B200" s="18"/>
      <x:c r="C200" s="18"/>
      <x:c r="D200" s="18"/>
      <x:c r="E200" s="18" t="str">
        <x:f>IF($C200="","",XLOOKUP($C200,Products!$A$5:$A$34,Products!$B$5:$B$34,""))</x:f>
      </x:c>
      <x:c r="F200" s="18" t="str">
        <x:f>IF($C200="","",XLOOKUP($C200,Products!$A$5:$A$34,Products!$C$5:$C$34,""))</x:f>
      </x:c>
      <x:c r="G200" s="19" t="str">
        <x:f>IF($C200="","",XLOOKUP($C200,Products!$A$5:$A$34,Products!$F$5:$F$34,""))</x:f>
      </x:c>
      <x:c r="H200" s="19" t="str">
        <x:f>IF($C200="","",XLOOKUP($C200,Products!$A$5:$A$34,Products!$E$5:$E$34,""))</x:f>
      </x:c>
      <x:c r="I200" s="19" t="str">
        <x:f>IF(OR($C200="",$D200=""),"",($D200*$G200))</x:f>
      </x:c>
      <x:c r="J200" s="18"/>
      <x:c r="K200" s="19" t="str">
        <x:f>IF(OR($C200="",$D200=""),"",$I200-($D200*$H200))</x:f>
      </x:c>
      <x:c r="L200" s="18"/>
      <x:c r="M200" s="18"/>
    </x:row>
    <x:row r="201" ht="15" hidden="0" customHeight="1">
      <x:c r="A201" s="22"/>
      <x:c r="B201" s="18"/>
      <x:c r="C201" s="18"/>
      <x:c r="D201" s="18"/>
      <x:c r="E201" s="18" t="str">
        <x:f>IF($C201="","",XLOOKUP($C201,Products!$A$5:$A$34,Products!$B$5:$B$34,""))</x:f>
      </x:c>
      <x:c r="F201" s="18" t="str">
        <x:f>IF($C201="","",XLOOKUP($C201,Products!$A$5:$A$34,Products!$C$5:$C$34,""))</x:f>
      </x:c>
      <x:c r="G201" s="19" t="str">
        <x:f>IF($C201="","",XLOOKUP($C201,Products!$A$5:$A$34,Products!$F$5:$F$34,""))</x:f>
      </x:c>
      <x:c r="H201" s="19" t="str">
        <x:f>IF($C201="","",XLOOKUP($C201,Products!$A$5:$A$34,Products!$E$5:$E$34,""))</x:f>
      </x:c>
      <x:c r="I201" s="19" t="str">
        <x:f>IF(OR($C201="",$D201=""),"",($D201*$G201))</x:f>
      </x:c>
      <x:c r="J201" s="18"/>
      <x:c r="K201" s="19" t="str">
        <x:f>IF(OR($C201="",$D201=""),"",$I201-($D201*$H201))</x:f>
      </x:c>
      <x:c r="L201" s="18"/>
      <x:c r="M201" s="18"/>
    </x:row>
    <x:row r="202" ht="15" hidden="0" customHeight="1">
      <x:c r="A202" s="22"/>
      <x:c r="B202" s="18"/>
      <x:c r="C202" s="18"/>
      <x:c r="D202" s="18"/>
      <x:c r="E202" s="18" t="str">
        <x:f>IF($C202="","",XLOOKUP($C202,Products!$A$5:$A$34,Products!$B$5:$B$34,""))</x:f>
      </x:c>
      <x:c r="F202" s="18" t="str">
        <x:f>IF($C202="","",XLOOKUP($C202,Products!$A$5:$A$34,Products!$C$5:$C$34,""))</x:f>
      </x:c>
      <x:c r="G202" s="19" t="str">
        <x:f>IF($C202="","",XLOOKUP($C202,Products!$A$5:$A$34,Products!$F$5:$F$34,""))</x:f>
      </x:c>
      <x:c r="H202" s="19" t="str">
        <x:f>IF($C202="","",XLOOKUP($C202,Products!$A$5:$A$34,Products!$E$5:$E$34,""))</x:f>
      </x:c>
      <x:c r="I202" s="19" t="str">
        <x:f>IF(OR($C202="",$D202=""),"",($D202*$G202))</x:f>
      </x:c>
      <x:c r="J202" s="18"/>
      <x:c r="K202" s="19" t="str">
        <x:f>IF(OR($C202="",$D202=""),"",$I202-($D202*$H202))</x:f>
      </x:c>
      <x:c r="L202" s="18"/>
      <x:c r="M202" s="18"/>
    </x:row>
    <x:row r="203" ht="15" hidden="0" customHeight="1">
      <x:c r="A203" s="22"/>
      <x:c r="B203" s="18"/>
      <x:c r="C203" s="18"/>
      <x:c r="D203" s="18"/>
      <x:c r="E203" s="18" t="str">
        <x:f>IF($C203="","",XLOOKUP($C203,Products!$A$5:$A$34,Products!$B$5:$B$34,""))</x:f>
      </x:c>
      <x:c r="F203" s="18" t="str">
        <x:f>IF($C203="","",XLOOKUP($C203,Products!$A$5:$A$34,Products!$C$5:$C$34,""))</x:f>
      </x:c>
      <x:c r="G203" s="19" t="str">
        <x:f>IF($C203="","",XLOOKUP($C203,Products!$A$5:$A$34,Products!$F$5:$F$34,""))</x:f>
      </x:c>
      <x:c r="H203" s="19" t="str">
        <x:f>IF($C203="","",XLOOKUP($C203,Products!$A$5:$A$34,Products!$E$5:$E$34,""))</x:f>
      </x:c>
      <x:c r="I203" s="19" t="str">
        <x:f>IF(OR($C203="",$D203=""),"",($D203*$G203))</x:f>
      </x:c>
      <x:c r="J203" s="18"/>
      <x:c r="K203" s="19" t="str">
        <x:f>IF(OR($C203="",$D203=""),"",$I203-($D203*$H203))</x:f>
      </x:c>
      <x:c r="L203" s="18"/>
      <x:c r="M203" s="18"/>
    </x:row>
    <x:row r="204" ht="15" hidden="0" customHeight="1">
      <x:c r="A204" s="22"/>
      <x:c r="B204" s="18"/>
      <x:c r="C204" s="18"/>
      <x:c r="D204" s="18"/>
      <x:c r="E204" s="18" t="str">
        <x:f>IF($C204="","",XLOOKUP($C204,Products!$A$5:$A$34,Products!$B$5:$B$34,""))</x:f>
      </x:c>
      <x:c r="F204" s="18" t="str">
        <x:f>IF($C204="","",XLOOKUP($C204,Products!$A$5:$A$34,Products!$C$5:$C$34,""))</x:f>
      </x:c>
      <x:c r="G204" s="19" t="str">
        <x:f>IF($C204="","",XLOOKUP($C204,Products!$A$5:$A$34,Products!$F$5:$F$34,""))</x:f>
      </x:c>
      <x:c r="H204" s="19" t="str">
        <x:f>IF($C204="","",XLOOKUP($C204,Products!$A$5:$A$34,Products!$E$5:$E$34,""))</x:f>
      </x:c>
      <x:c r="I204" s="19" t="str">
        <x:f>IF(OR($C204="",$D204=""),"",($D204*$G204))</x:f>
      </x:c>
      <x:c r="J204" s="18"/>
      <x:c r="K204" s="19" t="str">
        <x:f>IF(OR($C204="",$D204=""),"",$I204-($D204*$H204))</x:f>
      </x:c>
      <x:c r="L204" s="18"/>
      <x:c r="M204" s="18"/>
    </x:row>
    <x:row r="205" ht="15" hidden="0" customHeight="1">
      <x:c r="A205" s="22"/>
      <x:c r="B205" s="18"/>
      <x:c r="C205" s="18"/>
      <x:c r="D205" s="18"/>
      <x:c r="E205" s="18" t="str">
        <x:f>IF($C205="","",XLOOKUP($C205,Products!$A$5:$A$34,Products!$B$5:$B$34,""))</x:f>
      </x:c>
      <x:c r="F205" s="18" t="str">
        <x:f>IF($C205="","",XLOOKUP($C205,Products!$A$5:$A$34,Products!$C$5:$C$34,""))</x:f>
      </x:c>
      <x:c r="G205" s="19" t="str">
        <x:f>IF($C205="","",XLOOKUP($C205,Products!$A$5:$A$34,Products!$F$5:$F$34,""))</x:f>
      </x:c>
      <x:c r="H205" s="19" t="str">
        <x:f>IF($C205="","",XLOOKUP($C205,Products!$A$5:$A$34,Products!$E$5:$E$34,""))</x:f>
      </x:c>
      <x:c r="I205" s="19" t="str">
        <x:f>IF(OR($C205="",$D205=""),"",($D205*$G205))</x:f>
      </x:c>
      <x:c r="J205" s="18"/>
      <x:c r="K205" s="19" t="str">
        <x:f>IF(OR($C205="",$D205=""),"",$I205-($D205*$H205))</x:f>
      </x:c>
      <x:c r="L205" s="18"/>
      <x:c r="M205" s="18"/>
    </x:row>
    <x:row r="206" ht="15" hidden="0" customHeight="1">
      <x:c r="A206" s="22"/>
      <x:c r="B206" s="18"/>
      <x:c r="C206" s="18"/>
      <x:c r="D206" s="18"/>
      <x:c r="E206" s="18" t="str">
        <x:f>IF($C206="","",XLOOKUP($C206,Products!$A$5:$A$34,Products!$B$5:$B$34,""))</x:f>
      </x:c>
      <x:c r="F206" s="18" t="str">
        <x:f>IF($C206="","",XLOOKUP($C206,Products!$A$5:$A$34,Products!$C$5:$C$34,""))</x:f>
      </x:c>
      <x:c r="G206" s="19" t="str">
        <x:f>IF($C206="","",XLOOKUP($C206,Products!$A$5:$A$34,Products!$F$5:$F$34,""))</x:f>
      </x:c>
      <x:c r="H206" s="19" t="str">
        <x:f>IF($C206="","",XLOOKUP($C206,Products!$A$5:$A$34,Products!$E$5:$E$34,""))</x:f>
      </x:c>
      <x:c r="I206" s="19" t="str">
        <x:f>IF(OR($C206="",$D206=""),"",($D206*$G206))</x:f>
      </x:c>
      <x:c r="J206" s="18"/>
      <x:c r="K206" s="19" t="str">
        <x:f>IF(OR($C206="",$D206=""),"",$I206-($D206*$H206))</x:f>
      </x:c>
      <x:c r="L206" s="18"/>
      <x:c r="M206" s="18"/>
    </x:row>
    <x:row r="207" ht="15" hidden="0" customHeight="1">
      <x:c r="A207" s="22"/>
      <x:c r="B207" s="18"/>
      <x:c r="C207" s="18"/>
      <x:c r="D207" s="18"/>
      <x:c r="E207" s="18" t="str">
        <x:f>IF($C207="","",XLOOKUP($C207,Products!$A$5:$A$34,Products!$B$5:$B$34,""))</x:f>
      </x:c>
      <x:c r="F207" s="18" t="str">
        <x:f>IF($C207="","",XLOOKUP($C207,Products!$A$5:$A$34,Products!$C$5:$C$34,""))</x:f>
      </x:c>
      <x:c r="G207" s="19" t="str">
        <x:f>IF($C207="","",XLOOKUP($C207,Products!$A$5:$A$34,Products!$F$5:$F$34,""))</x:f>
      </x:c>
      <x:c r="H207" s="19" t="str">
        <x:f>IF($C207="","",XLOOKUP($C207,Products!$A$5:$A$34,Products!$E$5:$E$34,""))</x:f>
      </x:c>
      <x:c r="I207" s="19" t="str">
        <x:f>IF(OR($C207="",$D207=""),"",($D207*$G207))</x:f>
      </x:c>
      <x:c r="J207" s="18"/>
      <x:c r="K207" s="19" t="str">
        <x:f>IF(OR($C207="",$D207=""),"",$I207-($D207*$H207))</x:f>
      </x:c>
      <x:c r="L207" s="18"/>
      <x:c r="M207" s="18"/>
    </x:row>
    <x:row r="208" ht="15" hidden="0" customHeight="1">
      <x:c r="A208" s="22"/>
      <x:c r="B208" s="18"/>
      <x:c r="C208" s="18"/>
      <x:c r="D208" s="18"/>
      <x:c r="E208" s="18" t="str">
        <x:f>IF($C208="","",XLOOKUP($C208,Products!$A$5:$A$34,Products!$B$5:$B$34,""))</x:f>
      </x:c>
      <x:c r="F208" s="18" t="str">
        <x:f>IF($C208="","",XLOOKUP($C208,Products!$A$5:$A$34,Products!$C$5:$C$34,""))</x:f>
      </x:c>
      <x:c r="G208" s="19" t="str">
        <x:f>IF($C208="","",XLOOKUP($C208,Products!$A$5:$A$34,Products!$F$5:$F$34,""))</x:f>
      </x:c>
      <x:c r="H208" s="19" t="str">
        <x:f>IF($C208="","",XLOOKUP($C208,Products!$A$5:$A$34,Products!$E$5:$E$34,""))</x:f>
      </x:c>
      <x:c r="I208" s="19" t="str">
        <x:f>IF(OR($C208="",$D208=""),"",($D208*$G208))</x:f>
      </x:c>
      <x:c r="J208" s="18"/>
      <x:c r="K208" s="19" t="str">
        <x:f>IF(OR($C208="",$D208=""),"",$I208-($D208*$H208))</x:f>
      </x:c>
      <x:c r="L208" s="18"/>
      <x:c r="M208" s="18"/>
    </x:row>
    <x:row r="209" ht="15" hidden="0" customHeight="1">
      <x:c r="A209" s="22"/>
      <x:c r="B209" s="18"/>
      <x:c r="C209" s="18"/>
      <x:c r="D209" s="18"/>
      <x:c r="E209" s="18" t="str">
        <x:f>IF($C209="","",XLOOKUP($C209,Products!$A$5:$A$34,Products!$B$5:$B$34,""))</x:f>
      </x:c>
      <x:c r="F209" s="18" t="str">
        <x:f>IF($C209="","",XLOOKUP($C209,Products!$A$5:$A$34,Products!$C$5:$C$34,""))</x:f>
      </x:c>
      <x:c r="G209" s="19" t="str">
        <x:f>IF($C209="","",XLOOKUP($C209,Products!$A$5:$A$34,Products!$F$5:$F$34,""))</x:f>
      </x:c>
      <x:c r="H209" s="19" t="str">
        <x:f>IF($C209="","",XLOOKUP($C209,Products!$A$5:$A$34,Products!$E$5:$E$34,""))</x:f>
      </x:c>
      <x:c r="I209" s="19" t="str">
        <x:f>IF(OR($C209="",$D209=""),"",($D209*$G209))</x:f>
      </x:c>
      <x:c r="J209" s="18"/>
      <x:c r="K209" s="19" t="str">
        <x:f>IF(OR($C209="",$D209=""),"",$I209-($D209*$H209))</x:f>
      </x:c>
      <x:c r="L209" s="18"/>
      <x:c r="M209" s="18"/>
    </x:row>
    <x:row r="210" ht="15" hidden="0" customHeight="1">
      <x:c r="A210" s="22"/>
      <x:c r="B210" s="18"/>
      <x:c r="C210" s="18"/>
      <x:c r="D210" s="18"/>
      <x:c r="E210" s="18" t="str">
        <x:f>IF($C210="","",XLOOKUP($C210,Products!$A$5:$A$34,Products!$B$5:$B$34,""))</x:f>
      </x:c>
      <x:c r="F210" s="18" t="str">
        <x:f>IF($C210="","",XLOOKUP($C210,Products!$A$5:$A$34,Products!$C$5:$C$34,""))</x:f>
      </x:c>
      <x:c r="G210" s="19" t="str">
        <x:f>IF($C210="","",XLOOKUP($C210,Products!$A$5:$A$34,Products!$F$5:$F$34,""))</x:f>
      </x:c>
      <x:c r="H210" s="19" t="str">
        <x:f>IF($C210="","",XLOOKUP($C210,Products!$A$5:$A$34,Products!$E$5:$E$34,""))</x:f>
      </x:c>
      <x:c r="I210" s="19" t="str">
        <x:f>IF(OR($C210="",$D210=""),"",($D210*$G210))</x:f>
      </x:c>
      <x:c r="J210" s="18"/>
      <x:c r="K210" s="19" t="str">
        <x:f>IF(OR($C210="",$D210=""),"",$I210-($D210*$H210))</x:f>
      </x:c>
      <x:c r="L210" s="18"/>
      <x:c r="M210" s="18"/>
    </x:row>
    <x:row r="211" ht="15" hidden="0" customHeight="1">
      <x:c r="A211" s="22"/>
      <x:c r="B211" s="18"/>
      <x:c r="C211" s="18"/>
      <x:c r="D211" s="18"/>
      <x:c r="E211" s="18" t="str">
        <x:f>IF($C211="","",XLOOKUP($C211,Products!$A$5:$A$34,Products!$B$5:$B$34,""))</x:f>
      </x:c>
      <x:c r="F211" s="18" t="str">
        <x:f>IF($C211="","",XLOOKUP($C211,Products!$A$5:$A$34,Products!$C$5:$C$34,""))</x:f>
      </x:c>
      <x:c r="G211" s="19" t="str">
        <x:f>IF($C211="","",XLOOKUP($C211,Products!$A$5:$A$34,Products!$F$5:$F$34,""))</x:f>
      </x:c>
      <x:c r="H211" s="19" t="str">
        <x:f>IF($C211="","",XLOOKUP($C211,Products!$A$5:$A$34,Products!$E$5:$E$34,""))</x:f>
      </x:c>
      <x:c r="I211" s="19" t="str">
        <x:f>IF(OR($C211="",$D211=""),"",($D211*$G211))</x:f>
      </x:c>
      <x:c r="J211" s="18"/>
      <x:c r="K211" s="19" t="str">
        <x:f>IF(OR($C211="",$D211=""),"",$I211-($D211*$H211))</x:f>
      </x:c>
      <x:c r="L211" s="18"/>
      <x:c r="M211" s="18"/>
    </x:row>
    <x:row r="212" ht="15" hidden="0" customHeight="1">
      <x:c r="A212" s="22"/>
      <x:c r="B212" s="18"/>
      <x:c r="C212" s="18"/>
      <x:c r="D212" s="18"/>
      <x:c r="E212" s="18" t="str">
        <x:f>IF($C212="","",XLOOKUP($C212,Products!$A$5:$A$34,Products!$B$5:$B$34,""))</x:f>
      </x:c>
      <x:c r="F212" s="18" t="str">
        <x:f>IF($C212="","",XLOOKUP($C212,Products!$A$5:$A$34,Products!$C$5:$C$34,""))</x:f>
      </x:c>
      <x:c r="G212" s="19" t="str">
        <x:f>IF($C212="","",XLOOKUP($C212,Products!$A$5:$A$34,Products!$F$5:$F$34,""))</x:f>
      </x:c>
      <x:c r="H212" s="19" t="str">
        <x:f>IF($C212="","",XLOOKUP($C212,Products!$A$5:$A$34,Products!$E$5:$E$34,""))</x:f>
      </x:c>
      <x:c r="I212" s="19" t="str">
        <x:f>IF(OR($C212="",$D212=""),"",($D212*$G212))</x:f>
      </x:c>
      <x:c r="J212" s="18"/>
      <x:c r="K212" s="19" t="str">
        <x:f>IF(OR($C212="",$D212=""),"",$I212-($D212*$H212))</x:f>
      </x:c>
      <x:c r="L212" s="18"/>
      <x:c r="M212" s="18"/>
    </x:row>
    <x:row r="213" ht="15" hidden="0" customHeight="1">
      <x:c r="A213" s="22"/>
      <x:c r="B213" s="18"/>
      <x:c r="C213" s="18"/>
      <x:c r="D213" s="18"/>
      <x:c r="E213" s="18" t="str">
        <x:f>IF($C213="","",XLOOKUP($C213,Products!$A$5:$A$34,Products!$B$5:$B$34,""))</x:f>
      </x:c>
      <x:c r="F213" s="18" t="str">
        <x:f>IF($C213="","",XLOOKUP($C213,Products!$A$5:$A$34,Products!$C$5:$C$34,""))</x:f>
      </x:c>
      <x:c r="G213" s="19" t="str">
        <x:f>IF($C213="","",XLOOKUP($C213,Products!$A$5:$A$34,Products!$F$5:$F$34,""))</x:f>
      </x:c>
      <x:c r="H213" s="19" t="str">
        <x:f>IF($C213="","",XLOOKUP($C213,Products!$A$5:$A$34,Products!$E$5:$E$34,""))</x:f>
      </x:c>
      <x:c r="I213" s="19" t="str">
        <x:f>IF(OR($C213="",$D213=""),"",($D213*$G213))</x:f>
      </x:c>
      <x:c r="J213" s="18"/>
      <x:c r="K213" s="19" t="str">
        <x:f>IF(OR($C213="",$D213=""),"",$I213-($D213*$H213))</x:f>
      </x:c>
      <x:c r="L213" s="18"/>
      <x:c r="M213" s="18"/>
    </x:row>
    <x:row r="214" ht="15" hidden="0" customHeight="1">
      <x:c r="A214" s="22"/>
      <x:c r="B214" s="18"/>
      <x:c r="C214" s="18"/>
      <x:c r="D214" s="18"/>
      <x:c r="E214" s="18" t="str">
        <x:f>IF($C214="","",XLOOKUP($C214,Products!$A$5:$A$34,Products!$B$5:$B$34,""))</x:f>
      </x:c>
      <x:c r="F214" s="18" t="str">
        <x:f>IF($C214="","",XLOOKUP($C214,Products!$A$5:$A$34,Products!$C$5:$C$34,""))</x:f>
      </x:c>
      <x:c r="G214" s="19" t="str">
        <x:f>IF($C214="","",XLOOKUP($C214,Products!$A$5:$A$34,Products!$F$5:$F$34,""))</x:f>
      </x:c>
      <x:c r="H214" s="19" t="str">
        <x:f>IF($C214="","",XLOOKUP($C214,Products!$A$5:$A$34,Products!$E$5:$E$34,""))</x:f>
      </x:c>
      <x:c r="I214" s="19" t="str">
        <x:f>IF(OR($C214="",$D214=""),"",($D214*$G214))</x:f>
      </x:c>
      <x:c r="J214" s="18"/>
      <x:c r="K214" s="19" t="str">
        <x:f>IF(OR($C214="",$D214=""),"",$I214-($D214*$H214))</x:f>
      </x:c>
      <x:c r="L214" s="18"/>
      <x:c r="M214" s="18"/>
    </x:row>
    <x:row r="215" ht="15" hidden="0" customHeight="1">
      <x:c r="A215" s="22"/>
      <x:c r="B215" s="18"/>
      <x:c r="C215" s="18"/>
      <x:c r="D215" s="18"/>
      <x:c r="E215" s="18" t="str">
        <x:f>IF($C215="","",XLOOKUP($C215,Products!$A$5:$A$34,Products!$B$5:$B$34,""))</x:f>
      </x:c>
      <x:c r="F215" s="18" t="str">
        <x:f>IF($C215="","",XLOOKUP($C215,Products!$A$5:$A$34,Products!$C$5:$C$34,""))</x:f>
      </x:c>
      <x:c r="G215" s="19" t="str">
        <x:f>IF($C215="","",XLOOKUP($C215,Products!$A$5:$A$34,Products!$F$5:$F$34,""))</x:f>
      </x:c>
      <x:c r="H215" s="19" t="str">
        <x:f>IF($C215="","",XLOOKUP($C215,Products!$A$5:$A$34,Products!$E$5:$E$34,""))</x:f>
      </x:c>
      <x:c r="I215" s="19" t="str">
        <x:f>IF(OR($C215="",$D215=""),"",($D215*$G215))</x:f>
      </x:c>
      <x:c r="J215" s="18"/>
      <x:c r="K215" s="19" t="str">
        <x:f>IF(OR($C215="",$D215=""),"",$I215-($D215*$H215))</x:f>
      </x:c>
      <x:c r="L215" s="18"/>
      <x:c r="M215" s="18"/>
    </x:row>
    <x:row r="216" ht="15" hidden="0" customHeight="1">
      <x:c r="A216" s="22"/>
      <x:c r="B216" s="18"/>
      <x:c r="C216" s="18"/>
      <x:c r="D216" s="18"/>
      <x:c r="E216" s="18" t="str">
        <x:f>IF($C216="","",XLOOKUP($C216,Products!$A$5:$A$34,Products!$B$5:$B$34,""))</x:f>
      </x:c>
      <x:c r="F216" s="18" t="str">
        <x:f>IF($C216="","",XLOOKUP($C216,Products!$A$5:$A$34,Products!$C$5:$C$34,""))</x:f>
      </x:c>
      <x:c r="G216" s="19" t="str">
        <x:f>IF($C216="","",XLOOKUP($C216,Products!$A$5:$A$34,Products!$F$5:$F$34,""))</x:f>
      </x:c>
      <x:c r="H216" s="19" t="str">
        <x:f>IF($C216="","",XLOOKUP($C216,Products!$A$5:$A$34,Products!$E$5:$E$34,""))</x:f>
      </x:c>
      <x:c r="I216" s="19" t="str">
        <x:f>IF(OR($C216="",$D216=""),"",($D216*$G216))</x:f>
      </x:c>
      <x:c r="J216" s="18"/>
      <x:c r="K216" s="19" t="str">
        <x:f>IF(OR($C216="",$D216=""),"",$I216-($D216*$H216))</x:f>
      </x:c>
      <x:c r="L216" s="18"/>
      <x:c r="M216" s="18"/>
    </x:row>
    <x:row r="217" ht="15" hidden="0" customHeight="1">
      <x:c r="A217" s="22"/>
      <x:c r="B217" s="18"/>
      <x:c r="C217" s="18"/>
      <x:c r="D217" s="18"/>
      <x:c r="E217" s="18" t="str">
        <x:f>IF($C217="","",XLOOKUP($C217,Products!$A$5:$A$34,Products!$B$5:$B$34,""))</x:f>
      </x:c>
      <x:c r="F217" s="18" t="str">
        <x:f>IF($C217="","",XLOOKUP($C217,Products!$A$5:$A$34,Products!$C$5:$C$34,""))</x:f>
      </x:c>
      <x:c r="G217" s="19" t="str">
        <x:f>IF($C217="","",XLOOKUP($C217,Products!$A$5:$A$34,Products!$F$5:$F$34,""))</x:f>
      </x:c>
      <x:c r="H217" s="19" t="str">
        <x:f>IF($C217="","",XLOOKUP($C217,Products!$A$5:$A$34,Products!$E$5:$E$34,""))</x:f>
      </x:c>
      <x:c r="I217" s="19" t="str">
        <x:f>IF(OR($C217="",$D217=""),"",($D217*$G217))</x:f>
      </x:c>
      <x:c r="J217" s="18"/>
      <x:c r="K217" s="19" t="str">
        <x:f>IF(OR($C217="",$D217=""),"",$I217-($D217*$H217))</x:f>
      </x:c>
      <x:c r="L217" s="18"/>
      <x:c r="M217" s="18"/>
    </x:row>
    <x:row r="218" ht="15" hidden="0" customHeight="1">
      <x:c r="A218" s="22"/>
      <x:c r="B218" s="18"/>
      <x:c r="C218" s="18"/>
      <x:c r="D218" s="18"/>
      <x:c r="E218" s="18" t="str">
        <x:f>IF($C218="","",XLOOKUP($C218,Products!$A$5:$A$34,Products!$B$5:$B$34,""))</x:f>
      </x:c>
      <x:c r="F218" s="18" t="str">
        <x:f>IF($C218="","",XLOOKUP($C218,Products!$A$5:$A$34,Products!$C$5:$C$34,""))</x:f>
      </x:c>
      <x:c r="G218" s="19" t="str">
        <x:f>IF($C218="","",XLOOKUP($C218,Products!$A$5:$A$34,Products!$F$5:$F$34,""))</x:f>
      </x:c>
      <x:c r="H218" s="19" t="str">
        <x:f>IF($C218="","",XLOOKUP($C218,Products!$A$5:$A$34,Products!$E$5:$E$34,""))</x:f>
      </x:c>
      <x:c r="I218" s="19" t="str">
        <x:f>IF(OR($C218="",$D218=""),"",($D218*$G218))</x:f>
      </x:c>
      <x:c r="J218" s="18"/>
      <x:c r="K218" s="19" t="str">
        <x:f>IF(OR($C218="",$D218=""),"",$I218-($D218*$H218))</x:f>
      </x:c>
      <x:c r="L218" s="18"/>
      <x:c r="M218" s="18"/>
    </x:row>
    <x:row r="219" ht="15" hidden="0" customHeight="1">
      <x:c r="A219" s="22"/>
      <x:c r="B219" s="18"/>
      <x:c r="C219" s="18"/>
      <x:c r="D219" s="18"/>
      <x:c r="E219" s="18" t="str">
        <x:f>IF($C219="","",XLOOKUP($C219,Products!$A$5:$A$34,Products!$B$5:$B$34,""))</x:f>
      </x:c>
      <x:c r="F219" s="18" t="str">
        <x:f>IF($C219="","",XLOOKUP($C219,Products!$A$5:$A$34,Products!$C$5:$C$34,""))</x:f>
      </x:c>
      <x:c r="G219" s="19" t="str">
        <x:f>IF($C219="","",XLOOKUP($C219,Products!$A$5:$A$34,Products!$F$5:$F$34,""))</x:f>
      </x:c>
      <x:c r="H219" s="19" t="str">
        <x:f>IF($C219="","",XLOOKUP($C219,Products!$A$5:$A$34,Products!$E$5:$E$34,""))</x:f>
      </x:c>
      <x:c r="I219" s="19" t="str">
        <x:f>IF(OR($C219="",$D219=""),"",($D219*$G219))</x:f>
      </x:c>
      <x:c r="J219" s="18"/>
      <x:c r="K219" s="19" t="str">
        <x:f>IF(OR($C219="",$D219=""),"",$I219-($D219*$H219))</x:f>
      </x:c>
      <x:c r="L219" s="18"/>
      <x:c r="M219" s="18"/>
    </x:row>
    <x:row r="220" ht="15" hidden="0" customHeight="1">
      <x:c r="A220" s="22"/>
      <x:c r="B220" s="18"/>
      <x:c r="C220" s="18"/>
      <x:c r="D220" s="18"/>
      <x:c r="E220" s="18" t="str">
        <x:f>IF($C220="","",XLOOKUP($C220,Products!$A$5:$A$34,Products!$B$5:$B$34,""))</x:f>
      </x:c>
      <x:c r="F220" s="18" t="str">
        <x:f>IF($C220="","",XLOOKUP($C220,Products!$A$5:$A$34,Products!$C$5:$C$34,""))</x:f>
      </x:c>
      <x:c r="G220" s="19" t="str">
        <x:f>IF($C220="","",XLOOKUP($C220,Products!$A$5:$A$34,Products!$F$5:$F$34,""))</x:f>
      </x:c>
      <x:c r="H220" s="19" t="str">
        <x:f>IF($C220="","",XLOOKUP($C220,Products!$A$5:$A$34,Products!$E$5:$E$34,""))</x:f>
      </x:c>
      <x:c r="I220" s="19" t="str">
        <x:f>IF(OR($C220="",$D220=""),"",($D220*$G220))</x:f>
      </x:c>
      <x:c r="J220" s="18"/>
      <x:c r="K220" s="19" t="str">
        <x:f>IF(OR($C220="",$D220=""),"",$I220-($D220*$H220))</x:f>
      </x:c>
      <x:c r="L220" s="18"/>
      <x:c r="M220" s="18"/>
    </x:row>
    <x:row r="221" ht="15" hidden="0" customHeight="1">
      <x:c r="A221" s="22"/>
      <x:c r="B221" s="18"/>
      <x:c r="C221" s="18"/>
      <x:c r="D221" s="18"/>
      <x:c r="E221" s="18" t="str">
        <x:f>IF($C221="","",XLOOKUP($C221,Products!$A$5:$A$34,Products!$B$5:$B$34,""))</x:f>
      </x:c>
      <x:c r="F221" s="18" t="str">
        <x:f>IF($C221="","",XLOOKUP($C221,Products!$A$5:$A$34,Products!$C$5:$C$34,""))</x:f>
      </x:c>
      <x:c r="G221" s="19" t="str">
        <x:f>IF($C221="","",XLOOKUP($C221,Products!$A$5:$A$34,Products!$F$5:$F$34,""))</x:f>
      </x:c>
      <x:c r="H221" s="19" t="str">
        <x:f>IF($C221="","",XLOOKUP($C221,Products!$A$5:$A$34,Products!$E$5:$E$34,""))</x:f>
      </x:c>
      <x:c r="I221" s="19" t="str">
        <x:f>IF(OR($C221="",$D221=""),"",($D221*$G221))</x:f>
      </x:c>
      <x:c r="J221" s="18"/>
      <x:c r="K221" s="19" t="str">
        <x:f>IF(OR($C221="",$D221=""),"",$I221-($D221*$H221))</x:f>
      </x:c>
      <x:c r="L221" s="18"/>
      <x:c r="M221" s="18"/>
    </x:row>
    <x:row r="222" ht="15" hidden="0" customHeight="1">
      <x:c r="A222" s="22"/>
      <x:c r="B222" s="18"/>
      <x:c r="C222" s="18"/>
      <x:c r="D222" s="18"/>
      <x:c r="E222" s="18" t="str">
        <x:f>IF($C222="","",XLOOKUP($C222,Products!$A$5:$A$34,Products!$B$5:$B$34,""))</x:f>
      </x:c>
      <x:c r="F222" s="18" t="str">
        <x:f>IF($C222="","",XLOOKUP($C222,Products!$A$5:$A$34,Products!$C$5:$C$34,""))</x:f>
      </x:c>
      <x:c r="G222" s="19" t="str">
        <x:f>IF($C222="","",XLOOKUP($C222,Products!$A$5:$A$34,Products!$F$5:$F$34,""))</x:f>
      </x:c>
      <x:c r="H222" s="19" t="str">
        <x:f>IF($C222="","",XLOOKUP($C222,Products!$A$5:$A$34,Products!$E$5:$E$34,""))</x:f>
      </x:c>
      <x:c r="I222" s="19" t="str">
        <x:f>IF(OR($C222="",$D222=""),"",($D222*$G222))</x:f>
      </x:c>
      <x:c r="J222" s="18"/>
      <x:c r="K222" s="19" t="str">
        <x:f>IF(OR($C222="",$D222=""),"",$I222-($D222*$H222))</x:f>
      </x:c>
      <x:c r="L222" s="18"/>
      <x:c r="M222" s="18"/>
    </x:row>
    <x:row r="223" ht="15" hidden="0" customHeight="1">
      <x:c r="A223" s="22"/>
      <x:c r="B223" s="18"/>
      <x:c r="C223" s="18"/>
      <x:c r="D223" s="18"/>
      <x:c r="E223" s="18" t="str">
        <x:f>IF($C223="","",XLOOKUP($C223,Products!$A$5:$A$34,Products!$B$5:$B$34,""))</x:f>
      </x:c>
      <x:c r="F223" s="18" t="str">
        <x:f>IF($C223="","",XLOOKUP($C223,Products!$A$5:$A$34,Products!$C$5:$C$34,""))</x:f>
      </x:c>
      <x:c r="G223" s="19" t="str">
        <x:f>IF($C223="","",XLOOKUP($C223,Products!$A$5:$A$34,Products!$F$5:$F$34,""))</x:f>
      </x:c>
      <x:c r="H223" s="19" t="str">
        <x:f>IF($C223="","",XLOOKUP($C223,Products!$A$5:$A$34,Products!$E$5:$E$34,""))</x:f>
      </x:c>
      <x:c r="I223" s="19" t="str">
        <x:f>IF(OR($C223="",$D223=""),"",($D223*$G223))</x:f>
      </x:c>
      <x:c r="J223" s="18"/>
      <x:c r="K223" s="19" t="str">
        <x:f>IF(OR($C223="",$D223=""),"",$I223-($D223*$H223))</x:f>
      </x:c>
      <x:c r="L223" s="18"/>
      <x:c r="M223" s="18"/>
    </x:row>
    <x:row r="224" ht="15" hidden="0" customHeight="1">
      <x:c r="A224" s="22"/>
      <x:c r="B224" s="18"/>
      <x:c r="C224" s="18"/>
      <x:c r="D224" s="18"/>
      <x:c r="E224" s="18" t="str">
        <x:f>IF($C224="","",XLOOKUP($C224,Products!$A$5:$A$34,Products!$B$5:$B$34,""))</x:f>
      </x:c>
      <x:c r="F224" s="18" t="str">
        <x:f>IF($C224="","",XLOOKUP($C224,Products!$A$5:$A$34,Products!$C$5:$C$34,""))</x:f>
      </x:c>
      <x:c r="G224" s="19" t="str">
        <x:f>IF($C224="","",XLOOKUP($C224,Products!$A$5:$A$34,Products!$F$5:$F$34,""))</x:f>
      </x:c>
      <x:c r="H224" s="19" t="str">
        <x:f>IF($C224="","",XLOOKUP($C224,Products!$A$5:$A$34,Products!$E$5:$E$34,""))</x:f>
      </x:c>
      <x:c r="I224" s="19" t="str">
        <x:f>IF(OR($C224="",$D224=""),"",($D224*$G224))</x:f>
      </x:c>
      <x:c r="J224" s="18"/>
      <x:c r="K224" s="19" t="str">
        <x:f>IF(OR($C224="",$D224=""),"",$I224-($D224*$H224))</x:f>
      </x:c>
      <x:c r="L224" s="18"/>
      <x:c r="M224" s="18"/>
    </x:row>
    <x:row r="225" ht="15" hidden="0" customHeight="1">
      <x:c r="A225" s="22"/>
      <x:c r="B225" s="18"/>
      <x:c r="C225" s="18"/>
      <x:c r="D225" s="18"/>
      <x:c r="E225" s="18" t="str">
        <x:f>IF($C225="","",XLOOKUP($C225,Products!$A$5:$A$34,Products!$B$5:$B$34,""))</x:f>
      </x:c>
      <x:c r="F225" s="18" t="str">
        <x:f>IF($C225="","",XLOOKUP($C225,Products!$A$5:$A$34,Products!$C$5:$C$34,""))</x:f>
      </x:c>
      <x:c r="G225" s="19" t="str">
        <x:f>IF($C225="","",XLOOKUP($C225,Products!$A$5:$A$34,Products!$F$5:$F$34,""))</x:f>
      </x:c>
      <x:c r="H225" s="19" t="str">
        <x:f>IF($C225="","",XLOOKUP($C225,Products!$A$5:$A$34,Products!$E$5:$E$34,""))</x:f>
      </x:c>
      <x:c r="I225" s="19" t="str">
        <x:f>IF(OR($C225="",$D225=""),"",($D225*$G225))</x:f>
      </x:c>
      <x:c r="J225" s="18"/>
      <x:c r="K225" s="19" t="str">
        <x:f>IF(OR($C225="",$D225=""),"",$I225-($D225*$H225))</x:f>
      </x:c>
      <x:c r="L225" s="18"/>
      <x:c r="M225" s="18"/>
    </x:row>
    <x:row r="226" ht="15" hidden="0" customHeight="1">
      <x:c r="A226" s="22"/>
      <x:c r="B226" s="18"/>
      <x:c r="C226" s="18"/>
      <x:c r="D226" s="18"/>
      <x:c r="E226" s="18" t="str">
        <x:f>IF($C226="","",XLOOKUP($C226,Products!$A$5:$A$34,Products!$B$5:$B$34,""))</x:f>
      </x:c>
      <x:c r="F226" s="18" t="str">
        <x:f>IF($C226="","",XLOOKUP($C226,Products!$A$5:$A$34,Products!$C$5:$C$34,""))</x:f>
      </x:c>
      <x:c r="G226" s="19" t="str">
        <x:f>IF($C226="","",XLOOKUP($C226,Products!$A$5:$A$34,Products!$F$5:$F$34,""))</x:f>
      </x:c>
      <x:c r="H226" s="19" t="str">
        <x:f>IF($C226="","",XLOOKUP($C226,Products!$A$5:$A$34,Products!$E$5:$E$34,""))</x:f>
      </x:c>
      <x:c r="I226" s="19" t="str">
        <x:f>IF(OR($C226="",$D226=""),"",($D226*$G226))</x:f>
      </x:c>
      <x:c r="J226" s="18"/>
      <x:c r="K226" s="19" t="str">
        <x:f>IF(OR($C226="",$D226=""),"",$I226-($D226*$H226))</x:f>
      </x:c>
      <x:c r="L226" s="18"/>
      <x:c r="M226" s="18"/>
    </x:row>
    <x:row r="227" ht="15" hidden="0" customHeight="1">
      <x:c r="A227" s="22"/>
      <x:c r="B227" s="18"/>
      <x:c r="C227" s="18"/>
      <x:c r="D227" s="18"/>
      <x:c r="E227" s="18" t="str">
        <x:f>IF($C227="","",XLOOKUP($C227,Products!$A$5:$A$34,Products!$B$5:$B$34,""))</x:f>
      </x:c>
      <x:c r="F227" s="18" t="str">
        <x:f>IF($C227="","",XLOOKUP($C227,Products!$A$5:$A$34,Products!$C$5:$C$34,""))</x:f>
      </x:c>
      <x:c r="G227" s="19" t="str">
        <x:f>IF($C227="","",XLOOKUP($C227,Products!$A$5:$A$34,Products!$F$5:$F$34,""))</x:f>
      </x:c>
      <x:c r="H227" s="19" t="str">
        <x:f>IF($C227="","",XLOOKUP($C227,Products!$A$5:$A$34,Products!$E$5:$E$34,""))</x:f>
      </x:c>
      <x:c r="I227" s="19" t="str">
        <x:f>IF(OR($C227="",$D227=""),"",($D227*$G227))</x:f>
      </x:c>
      <x:c r="J227" s="18"/>
      <x:c r="K227" s="19" t="str">
        <x:f>IF(OR($C227="",$D227=""),"",$I227-($D227*$H227))</x:f>
      </x:c>
      <x:c r="L227" s="18"/>
      <x:c r="M227" s="18"/>
    </x:row>
    <x:row r="228" ht="15" hidden="0" customHeight="1">
      <x:c r="A228" s="22"/>
      <x:c r="B228" s="18"/>
      <x:c r="C228" s="18"/>
      <x:c r="D228" s="18"/>
      <x:c r="E228" s="18" t="str">
        <x:f>IF($C228="","",XLOOKUP($C228,Products!$A$5:$A$34,Products!$B$5:$B$34,""))</x:f>
      </x:c>
      <x:c r="F228" s="18" t="str">
        <x:f>IF($C228="","",XLOOKUP($C228,Products!$A$5:$A$34,Products!$C$5:$C$34,""))</x:f>
      </x:c>
      <x:c r="G228" s="19" t="str">
        <x:f>IF($C228="","",XLOOKUP($C228,Products!$A$5:$A$34,Products!$F$5:$F$34,""))</x:f>
      </x:c>
      <x:c r="H228" s="19" t="str">
        <x:f>IF($C228="","",XLOOKUP($C228,Products!$A$5:$A$34,Products!$E$5:$E$34,""))</x:f>
      </x:c>
      <x:c r="I228" s="19" t="str">
        <x:f>IF(OR($C228="",$D228=""),"",($D228*$G228))</x:f>
      </x:c>
      <x:c r="J228" s="18"/>
      <x:c r="K228" s="19" t="str">
        <x:f>IF(OR($C228="",$D228=""),"",$I228-($D228*$H228))</x:f>
      </x:c>
      <x:c r="L228" s="18"/>
      <x:c r="M228" s="18"/>
    </x:row>
    <x:row r="229" ht="15" hidden="0" customHeight="1">
      <x:c r="A229" s="22"/>
      <x:c r="B229" s="18"/>
      <x:c r="C229" s="18"/>
      <x:c r="D229" s="18"/>
      <x:c r="E229" s="18" t="str">
        <x:f>IF($C229="","",XLOOKUP($C229,Products!$A$5:$A$34,Products!$B$5:$B$34,""))</x:f>
      </x:c>
      <x:c r="F229" s="18" t="str">
        <x:f>IF($C229="","",XLOOKUP($C229,Products!$A$5:$A$34,Products!$C$5:$C$34,""))</x:f>
      </x:c>
      <x:c r="G229" s="19" t="str">
        <x:f>IF($C229="","",XLOOKUP($C229,Products!$A$5:$A$34,Products!$F$5:$F$34,""))</x:f>
      </x:c>
      <x:c r="H229" s="19" t="str">
        <x:f>IF($C229="","",XLOOKUP($C229,Products!$A$5:$A$34,Products!$E$5:$E$34,""))</x:f>
      </x:c>
      <x:c r="I229" s="19" t="str">
        <x:f>IF(OR($C229="",$D229=""),"",($D229*$G229))</x:f>
      </x:c>
      <x:c r="J229" s="18"/>
      <x:c r="K229" s="19" t="str">
        <x:f>IF(OR($C229="",$D229=""),"",$I229-($D229*$H229))</x:f>
      </x:c>
      <x:c r="L229" s="18"/>
      <x:c r="M229" s="18"/>
    </x:row>
    <x:row r="230" ht="15" hidden="0" customHeight="1">
      <x:c r="A230" s="22"/>
      <x:c r="B230" s="18"/>
      <x:c r="C230" s="18"/>
      <x:c r="D230" s="18"/>
      <x:c r="E230" s="18" t="str">
        <x:f>IF($C230="","",XLOOKUP($C230,Products!$A$5:$A$34,Products!$B$5:$B$34,""))</x:f>
      </x:c>
      <x:c r="F230" s="18" t="str">
        <x:f>IF($C230="","",XLOOKUP($C230,Products!$A$5:$A$34,Products!$C$5:$C$34,""))</x:f>
      </x:c>
      <x:c r="G230" s="19" t="str">
        <x:f>IF($C230="","",XLOOKUP($C230,Products!$A$5:$A$34,Products!$F$5:$F$34,""))</x:f>
      </x:c>
      <x:c r="H230" s="19" t="str">
        <x:f>IF($C230="","",XLOOKUP($C230,Products!$A$5:$A$34,Products!$E$5:$E$34,""))</x:f>
      </x:c>
      <x:c r="I230" s="19" t="str">
        <x:f>IF(OR($C230="",$D230=""),"",($D230*$G230))</x:f>
      </x:c>
      <x:c r="J230" s="18"/>
      <x:c r="K230" s="19" t="str">
        <x:f>IF(OR($C230="",$D230=""),"",$I230-($D230*$H230))</x:f>
      </x:c>
      <x:c r="L230" s="18"/>
      <x:c r="M230" s="18"/>
    </x:row>
    <x:row r="231" ht="15" hidden="0" customHeight="1">
      <x:c r="A231" s="22"/>
      <x:c r="B231" s="18"/>
      <x:c r="C231" s="18"/>
      <x:c r="D231" s="18"/>
      <x:c r="E231" s="18" t="str">
        <x:f>IF($C231="","",XLOOKUP($C231,Products!$A$5:$A$34,Products!$B$5:$B$34,""))</x:f>
      </x:c>
      <x:c r="F231" s="18" t="str">
        <x:f>IF($C231="","",XLOOKUP($C231,Products!$A$5:$A$34,Products!$C$5:$C$34,""))</x:f>
      </x:c>
      <x:c r="G231" s="19" t="str">
        <x:f>IF($C231="","",XLOOKUP($C231,Products!$A$5:$A$34,Products!$F$5:$F$34,""))</x:f>
      </x:c>
      <x:c r="H231" s="19" t="str">
        <x:f>IF($C231="","",XLOOKUP($C231,Products!$A$5:$A$34,Products!$E$5:$E$34,""))</x:f>
      </x:c>
      <x:c r="I231" s="19" t="str">
        <x:f>IF(OR($C231="",$D231=""),"",($D231*$G231))</x:f>
      </x:c>
      <x:c r="J231" s="18"/>
      <x:c r="K231" s="19" t="str">
        <x:f>IF(OR($C231="",$D231=""),"",$I231-($D231*$H231))</x:f>
      </x:c>
      <x:c r="L231" s="18"/>
      <x:c r="M231" s="18"/>
    </x:row>
    <x:row r="232" ht="15" hidden="0" customHeight="1">
      <x:c r="A232" s="22"/>
      <x:c r="B232" s="18"/>
      <x:c r="C232" s="18"/>
      <x:c r="D232" s="18"/>
      <x:c r="E232" s="18" t="str">
        <x:f>IF($C232="","",XLOOKUP($C232,Products!$A$5:$A$34,Products!$B$5:$B$34,""))</x:f>
      </x:c>
      <x:c r="F232" s="18" t="str">
        <x:f>IF($C232="","",XLOOKUP($C232,Products!$A$5:$A$34,Products!$C$5:$C$34,""))</x:f>
      </x:c>
      <x:c r="G232" s="19" t="str">
        <x:f>IF($C232="","",XLOOKUP($C232,Products!$A$5:$A$34,Products!$F$5:$F$34,""))</x:f>
      </x:c>
      <x:c r="H232" s="19" t="str">
        <x:f>IF($C232="","",XLOOKUP($C232,Products!$A$5:$A$34,Products!$E$5:$E$34,""))</x:f>
      </x:c>
      <x:c r="I232" s="19" t="str">
        <x:f>IF(OR($C232="",$D232=""),"",($D232*$G232))</x:f>
      </x:c>
      <x:c r="J232" s="18"/>
      <x:c r="K232" s="19" t="str">
        <x:f>IF(OR($C232="",$D232=""),"",$I232-($D232*$H232))</x:f>
      </x:c>
      <x:c r="L232" s="18"/>
      <x:c r="M232" s="18"/>
    </x:row>
    <x:row r="233" ht="15" hidden="0" customHeight="1">
      <x:c r="A233" s="22"/>
      <x:c r="B233" s="18"/>
      <x:c r="C233" s="18"/>
      <x:c r="D233" s="18"/>
      <x:c r="E233" s="18" t="str">
        <x:f>IF($C233="","",XLOOKUP($C233,Products!$A$5:$A$34,Products!$B$5:$B$34,""))</x:f>
      </x:c>
      <x:c r="F233" s="18" t="str">
        <x:f>IF($C233="","",XLOOKUP($C233,Products!$A$5:$A$34,Products!$C$5:$C$34,""))</x:f>
      </x:c>
      <x:c r="G233" s="19" t="str">
        <x:f>IF($C233="","",XLOOKUP($C233,Products!$A$5:$A$34,Products!$F$5:$F$34,""))</x:f>
      </x:c>
      <x:c r="H233" s="19" t="str">
        <x:f>IF($C233="","",XLOOKUP($C233,Products!$A$5:$A$34,Products!$E$5:$E$34,""))</x:f>
      </x:c>
      <x:c r="I233" s="19" t="str">
        <x:f>IF(OR($C233="",$D233=""),"",($D233*$G233))</x:f>
      </x:c>
      <x:c r="J233" s="18"/>
      <x:c r="K233" s="19" t="str">
        <x:f>IF(OR($C233="",$D233=""),"",$I233-($D233*$H233))</x:f>
      </x:c>
      <x:c r="L233" s="18"/>
      <x:c r="M233" s="18"/>
    </x:row>
    <x:row r="234" ht="15" hidden="0" customHeight="1">
      <x:c r="A234" s="22"/>
      <x:c r="B234" s="18"/>
      <x:c r="C234" s="18"/>
      <x:c r="D234" s="18"/>
      <x:c r="E234" s="18" t="str">
        <x:f>IF($C234="","",XLOOKUP($C234,Products!$A$5:$A$34,Products!$B$5:$B$34,""))</x:f>
      </x:c>
      <x:c r="F234" s="18" t="str">
        <x:f>IF($C234="","",XLOOKUP($C234,Products!$A$5:$A$34,Products!$C$5:$C$34,""))</x:f>
      </x:c>
      <x:c r="G234" s="19" t="str">
        <x:f>IF($C234="","",XLOOKUP($C234,Products!$A$5:$A$34,Products!$F$5:$F$34,""))</x:f>
      </x:c>
      <x:c r="H234" s="19" t="str">
        <x:f>IF($C234="","",XLOOKUP($C234,Products!$A$5:$A$34,Products!$E$5:$E$34,""))</x:f>
      </x:c>
      <x:c r="I234" s="19" t="str">
        <x:f>IF(OR($C234="",$D234=""),"",($D234*$G234))</x:f>
      </x:c>
      <x:c r="J234" s="18"/>
      <x:c r="K234" s="19" t="str">
        <x:f>IF(OR($C234="",$D234=""),"",$I234-($D234*$H234))</x:f>
      </x:c>
      <x:c r="L234" s="18"/>
      <x:c r="M234" s="18"/>
    </x:row>
    <x:row r="235" ht="15" hidden="0" customHeight="1">
      <x:c r="A235" s="22"/>
      <x:c r="B235" s="18"/>
      <x:c r="C235" s="18"/>
      <x:c r="D235" s="18"/>
      <x:c r="E235" s="18" t="str">
        <x:f>IF($C235="","",XLOOKUP($C235,Products!$A$5:$A$34,Products!$B$5:$B$34,""))</x:f>
      </x:c>
      <x:c r="F235" s="18" t="str">
        <x:f>IF($C235="","",XLOOKUP($C235,Products!$A$5:$A$34,Products!$C$5:$C$34,""))</x:f>
      </x:c>
      <x:c r="G235" s="19" t="str">
        <x:f>IF($C235="","",XLOOKUP($C235,Products!$A$5:$A$34,Products!$F$5:$F$34,""))</x:f>
      </x:c>
      <x:c r="H235" s="19" t="str">
        <x:f>IF($C235="","",XLOOKUP($C235,Products!$A$5:$A$34,Products!$E$5:$E$34,""))</x:f>
      </x:c>
      <x:c r="I235" s="19" t="str">
        <x:f>IF(OR($C235="",$D235=""),"",($D235*$G235))</x:f>
      </x:c>
      <x:c r="J235" s="18"/>
      <x:c r="K235" s="19" t="str">
        <x:f>IF(OR($C235="",$D235=""),"",$I235-($D235*$H235))</x:f>
      </x:c>
      <x:c r="L235" s="18"/>
      <x:c r="M235" s="18"/>
    </x:row>
    <x:row r="236" ht="15" hidden="0" customHeight="1">
      <x:c r="A236" s="22"/>
      <x:c r="B236" s="18"/>
      <x:c r="C236" s="18"/>
      <x:c r="D236" s="18"/>
      <x:c r="E236" s="18" t="str">
        <x:f>IF($C236="","",XLOOKUP($C236,Products!$A$5:$A$34,Products!$B$5:$B$34,""))</x:f>
      </x:c>
      <x:c r="F236" s="18" t="str">
        <x:f>IF($C236="","",XLOOKUP($C236,Products!$A$5:$A$34,Products!$C$5:$C$34,""))</x:f>
      </x:c>
      <x:c r="G236" s="19" t="str">
        <x:f>IF($C236="","",XLOOKUP($C236,Products!$A$5:$A$34,Products!$F$5:$F$34,""))</x:f>
      </x:c>
      <x:c r="H236" s="19" t="str">
        <x:f>IF($C236="","",XLOOKUP($C236,Products!$A$5:$A$34,Products!$E$5:$E$34,""))</x:f>
      </x:c>
      <x:c r="I236" s="19" t="str">
        <x:f>IF(OR($C236="",$D236=""),"",($D236*$G236))</x:f>
      </x:c>
      <x:c r="J236" s="18"/>
      <x:c r="K236" s="19" t="str">
        <x:f>IF(OR($C236="",$D236=""),"",$I236-($D236*$H236))</x:f>
      </x:c>
      <x:c r="L236" s="18"/>
      <x:c r="M236" s="18"/>
    </x:row>
    <x:row r="237" ht="15" hidden="0" customHeight="1">
      <x:c r="A237" s="22"/>
      <x:c r="B237" s="18"/>
      <x:c r="C237" s="18"/>
      <x:c r="D237" s="18"/>
      <x:c r="E237" s="18" t="str">
        <x:f>IF($C237="","",XLOOKUP($C237,Products!$A$5:$A$34,Products!$B$5:$B$34,""))</x:f>
      </x:c>
      <x:c r="F237" s="18" t="str">
        <x:f>IF($C237="","",XLOOKUP($C237,Products!$A$5:$A$34,Products!$C$5:$C$34,""))</x:f>
      </x:c>
      <x:c r="G237" s="19" t="str">
        <x:f>IF($C237="","",XLOOKUP($C237,Products!$A$5:$A$34,Products!$F$5:$F$34,""))</x:f>
      </x:c>
      <x:c r="H237" s="19" t="str">
        <x:f>IF($C237="","",XLOOKUP($C237,Products!$A$5:$A$34,Products!$E$5:$E$34,""))</x:f>
      </x:c>
      <x:c r="I237" s="19" t="str">
        <x:f>IF(OR($C237="",$D237=""),"",($D237*$G237))</x:f>
      </x:c>
      <x:c r="J237" s="18"/>
      <x:c r="K237" s="19" t="str">
        <x:f>IF(OR($C237="",$D237=""),"",$I237-($D237*$H237))</x:f>
      </x:c>
      <x:c r="L237" s="18"/>
      <x:c r="M237" s="18"/>
    </x:row>
    <x:row r="238" ht="15" hidden="0" customHeight="1">
      <x:c r="A238" s="22"/>
      <x:c r="B238" s="18"/>
      <x:c r="C238" s="18"/>
      <x:c r="D238" s="18"/>
      <x:c r="E238" s="18" t="str">
        <x:f>IF($C238="","",XLOOKUP($C238,Products!$A$5:$A$34,Products!$B$5:$B$34,""))</x:f>
      </x:c>
      <x:c r="F238" s="18" t="str">
        <x:f>IF($C238="","",XLOOKUP($C238,Products!$A$5:$A$34,Products!$C$5:$C$34,""))</x:f>
      </x:c>
      <x:c r="G238" s="19" t="str">
        <x:f>IF($C238="","",XLOOKUP($C238,Products!$A$5:$A$34,Products!$F$5:$F$34,""))</x:f>
      </x:c>
      <x:c r="H238" s="19" t="str">
        <x:f>IF($C238="","",XLOOKUP($C238,Products!$A$5:$A$34,Products!$E$5:$E$34,""))</x:f>
      </x:c>
      <x:c r="I238" s="19" t="str">
        <x:f>IF(OR($C238="",$D238=""),"",($D238*$G238))</x:f>
      </x:c>
      <x:c r="J238" s="18"/>
      <x:c r="K238" s="19" t="str">
        <x:f>IF(OR($C238="",$D238=""),"",$I238-($D238*$H238))</x:f>
      </x:c>
      <x:c r="L238" s="18"/>
      <x:c r="M238" s="18"/>
    </x:row>
    <x:row r="239" ht="15" hidden="0" customHeight="1">
      <x:c r="A239" s="22"/>
      <x:c r="B239" s="18"/>
      <x:c r="C239" s="18"/>
      <x:c r="D239" s="18"/>
      <x:c r="E239" s="18" t="str">
        <x:f>IF($C239="","",XLOOKUP($C239,Products!$A$5:$A$34,Products!$B$5:$B$34,""))</x:f>
      </x:c>
      <x:c r="F239" s="18" t="str">
        <x:f>IF($C239="","",XLOOKUP($C239,Products!$A$5:$A$34,Products!$C$5:$C$34,""))</x:f>
      </x:c>
      <x:c r="G239" s="19" t="str">
        <x:f>IF($C239="","",XLOOKUP($C239,Products!$A$5:$A$34,Products!$F$5:$F$34,""))</x:f>
      </x:c>
      <x:c r="H239" s="19" t="str">
        <x:f>IF($C239="","",XLOOKUP($C239,Products!$A$5:$A$34,Products!$E$5:$E$34,""))</x:f>
      </x:c>
      <x:c r="I239" s="19" t="str">
        <x:f>IF(OR($C239="",$D239=""),"",($D239*$G239))</x:f>
      </x:c>
      <x:c r="J239" s="18"/>
      <x:c r="K239" s="19" t="str">
        <x:f>IF(OR($C239="",$D239=""),"",$I239-($D239*$H239))</x:f>
      </x:c>
      <x:c r="L239" s="18"/>
      <x:c r="M239" s="18"/>
    </x:row>
    <x:row r="240" ht="15" hidden="0" customHeight="1">
      <x:c r="A240" s="22"/>
      <x:c r="B240" s="18"/>
      <x:c r="C240" s="18"/>
      <x:c r="D240" s="18"/>
      <x:c r="E240" s="18" t="str">
        <x:f>IF($C240="","",XLOOKUP($C240,Products!$A$5:$A$34,Products!$B$5:$B$34,""))</x:f>
      </x:c>
      <x:c r="F240" s="18" t="str">
        <x:f>IF($C240="","",XLOOKUP($C240,Products!$A$5:$A$34,Products!$C$5:$C$34,""))</x:f>
      </x:c>
      <x:c r="G240" s="19" t="str">
        <x:f>IF($C240="","",XLOOKUP($C240,Products!$A$5:$A$34,Products!$F$5:$F$34,""))</x:f>
      </x:c>
      <x:c r="H240" s="19" t="str">
        <x:f>IF($C240="","",XLOOKUP($C240,Products!$A$5:$A$34,Products!$E$5:$E$34,""))</x:f>
      </x:c>
      <x:c r="I240" s="19" t="str">
        <x:f>IF(OR($C240="",$D240=""),"",($D240*$G240))</x:f>
      </x:c>
      <x:c r="J240" s="18"/>
      <x:c r="K240" s="19" t="str">
        <x:f>IF(OR($C240="",$D240=""),"",$I240-($D240*$H240))</x:f>
      </x:c>
      <x:c r="L240" s="18"/>
      <x:c r="M240" s="18"/>
    </x:row>
    <x:row r="241" ht="15" hidden="0" customHeight="1">
      <x:c r="A241" s="22"/>
      <x:c r="B241" s="18"/>
      <x:c r="C241" s="18"/>
      <x:c r="D241" s="18"/>
      <x:c r="E241" s="18" t="str">
        <x:f>IF($C241="","",XLOOKUP($C241,Products!$A$5:$A$34,Products!$B$5:$B$34,""))</x:f>
      </x:c>
      <x:c r="F241" s="18" t="str">
        <x:f>IF($C241="","",XLOOKUP($C241,Products!$A$5:$A$34,Products!$C$5:$C$34,""))</x:f>
      </x:c>
      <x:c r="G241" s="19" t="str">
        <x:f>IF($C241="","",XLOOKUP($C241,Products!$A$5:$A$34,Products!$F$5:$F$34,""))</x:f>
      </x:c>
      <x:c r="H241" s="19" t="str">
        <x:f>IF($C241="","",XLOOKUP($C241,Products!$A$5:$A$34,Products!$E$5:$E$34,""))</x:f>
      </x:c>
      <x:c r="I241" s="19" t="str">
        <x:f>IF(OR($C241="",$D241=""),"",($D241*$G241))</x:f>
      </x:c>
      <x:c r="J241" s="18"/>
      <x:c r="K241" s="19" t="str">
        <x:f>IF(OR($C241="",$D241=""),"",$I241-($D241*$H241))</x:f>
      </x:c>
      <x:c r="L241" s="18"/>
      <x:c r="M241" s="18"/>
    </x:row>
    <x:row r="242" ht="15" hidden="0" customHeight="1">
      <x:c r="A242" s="22"/>
      <x:c r="B242" s="18"/>
      <x:c r="C242" s="18"/>
      <x:c r="D242" s="18"/>
      <x:c r="E242" s="18" t="str">
        <x:f>IF($C242="","",XLOOKUP($C242,Products!$A$5:$A$34,Products!$B$5:$B$34,""))</x:f>
      </x:c>
      <x:c r="F242" s="18" t="str">
        <x:f>IF($C242="","",XLOOKUP($C242,Products!$A$5:$A$34,Products!$C$5:$C$34,""))</x:f>
      </x:c>
      <x:c r="G242" s="19" t="str">
        <x:f>IF($C242="","",XLOOKUP($C242,Products!$A$5:$A$34,Products!$F$5:$F$34,""))</x:f>
      </x:c>
      <x:c r="H242" s="19" t="str">
        <x:f>IF($C242="","",XLOOKUP($C242,Products!$A$5:$A$34,Products!$E$5:$E$34,""))</x:f>
      </x:c>
      <x:c r="I242" s="19" t="str">
        <x:f>IF(OR($C242="",$D242=""),"",($D242*$G242))</x:f>
      </x:c>
      <x:c r="J242" s="18"/>
      <x:c r="K242" s="19" t="str">
        <x:f>IF(OR($C242="",$D242=""),"",$I242-($D242*$H242))</x:f>
      </x:c>
      <x:c r="L242" s="18"/>
      <x:c r="M242" s="18"/>
    </x:row>
    <x:row r="243" ht="15" hidden="0" customHeight="1">
      <x:c r="A243" s="22"/>
      <x:c r="B243" s="18"/>
      <x:c r="C243" s="18"/>
      <x:c r="D243" s="18"/>
      <x:c r="E243" s="18" t="str">
        <x:f>IF($C243="","",XLOOKUP($C243,Products!$A$5:$A$34,Products!$B$5:$B$34,""))</x:f>
      </x:c>
      <x:c r="F243" s="18" t="str">
        <x:f>IF($C243="","",XLOOKUP($C243,Products!$A$5:$A$34,Products!$C$5:$C$34,""))</x:f>
      </x:c>
      <x:c r="G243" s="19" t="str">
        <x:f>IF($C243="","",XLOOKUP($C243,Products!$A$5:$A$34,Products!$F$5:$F$34,""))</x:f>
      </x:c>
      <x:c r="H243" s="19" t="str">
        <x:f>IF($C243="","",XLOOKUP($C243,Products!$A$5:$A$34,Products!$E$5:$E$34,""))</x:f>
      </x:c>
      <x:c r="I243" s="19" t="str">
        <x:f>IF(OR($C243="",$D243=""),"",($D243*$G243))</x:f>
      </x:c>
      <x:c r="J243" s="18"/>
      <x:c r="K243" s="19" t="str">
        <x:f>IF(OR($C243="",$D243=""),"",$I243-($D243*$H243))</x:f>
      </x:c>
      <x:c r="L243" s="18"/>
      <x:c r="M243" s="18"/>
    </x:row>
    <x:row r="244" ht="15" hidden="0" customHeight="1">
      <x:c r="A244" s="22"/>
      <x:c r="B244" s="18"/>
      <x:c r="C244" s="18"/>
      <x:c r="D244" s="18"/>
      <x:c r="E244" s="18" t="str">
        <x:f>IF($C244="","",XLOOKUP($C244,Products!$A$5:$A$34,Products!$B$5:$B$34,""))</x:f>
      </x:c>
      <x:c r="F244" s="18" t="str">
        <x:f>IF($C244="","",XLOOKUP($C244,Products!$A$5:$A$34,Products!$C$5:$C$34,""))</x:f>
      </x:c>
      <x:c r="G244" s="19" t="str">
        <x:f>IF($C244="","",XLOOKUP($C244,Products!$A$5:$A$34,Products!$F$5:$F$34,""))</x:f>
      </x:c>
      <x:c r="H244" s="19" t="str">
        <x:f>IF($C244="","",XLOOKUP($C244,Products!$A$5:$A$34,Products!$E$5:$E$34,""))</x:f>
      </x:c>
      <x:c r="I244" s="19" t="str">
        <x:f>IF(OR($C244="",$D244=""),"",($D244*$G244))</x:f>
      </x:c>
      <x:c r="J244" s="18"/>
      <x:c r="K244" s="19" t="str">
        <x:f>IF(OR($C244="",$D244=""),"",$I244-($D244*$H244))</x:f>
      </x:c>
      <x:c r="L244" s="18"/>
      <x:c r="M244" s="18"/>
    </x:row>
    <x:row r="245" ht="15" hidden="0" customHeight="1">
      <x:c r="A245" s="22"/>
      <x:c r="B245" s="18"/>
      <x:c r="C245" s="18"/>
      <x:c r="D245" s="18"/>
      <x:c r="E245" s="18" t="str">
        <x:f>IF($C245="","",XLOOKUP($C245,Products!$A$5:$A$34,Products!$B$5:$B$34,""))</x:f>
      </x:c>
      <x:c r="F245" s="18" t="str">
        <x:f>IF($C245="","",XLOOKUP($C245,Products!$A$5:$A$34,Products!$C$5:$C$34,""))</x:f>
      </x:c>
      <x:c r="G245" s="19" t="str">
        <x:f>IF($C245="","",XLOOKUP($C245,Products!$A$5:$A$34,Products!$F$5:$F$34,""))</x:f>
      </x:c>
      <x:c r="H245" s="19" t="str">
        <x:f>IF($C245="","",XLOOKUP($C245,Products!$A$5:$A$34,Products!$E$5:$E$34,""))</x:f>
      </x:c>
      <x:c r="I245" s="19" t="str">
        <x:f>IF(OR($C245="",$D245=""),"",($D245*$G245))</x:f>
      </x:c>
      <x:c r="J245" s="18"/>
      <x:c r="K245" s="19" t="str">
        <x:f>IF(OR($C245="",$D245=""),"",$I245-($D245*$H245))</x:f>
      </x:c>
      <x:c r="L245" s="18"/>
      <x:c r="M245" s="18"/>
    </x:row>
    <x:row r="246" ht="15" hidden="0" customHeight="1">
      <x:c r="A246" s="22"/>
      <x:c r="B246" s="18"/>
      <x:c r="C246" s="18"/>
      <x:c r="D246" s="18"/>
      <x:c r="E246" s="18" t="str">
        <x:f>IF($C246="","",XLOOKUP($C246,Products!$A$5:$A$34,Products!$B$5:$B$34,""))</x:f>
      </x:c>
      <x:c r="F246" s="18" t="str">
        <x:f>IF($C246="","",XLOOKUP($C246,Products!$A$5:$A$34,Products!$C$5:$C$34,""))</x:f>
      </x:c>
      <x:c r="G246" s="19" t="str">
        <x:f>IF($C246="","",XLOOKUP($C246,Products!$A$5:$A$34,Products!$F$5:$F$34,""))</x:f>
      </x:c>
      <x:c r="H246" s="19" t="str">
        <x:f>IF($C246="","",XLOOKUP($C246,Products!$A$5:$A$34,Products!$E$5:$E$34,""))</x:f>
      </x:c>
      <x:c r="I246" s="19" t="str">
        <x:f>IF(OR($C246="",$D246=""),"",($D246*$G246))</x:f>
      </x:c>
      <x:c r="J246" s="18"/>
      <x:c r="K246" s="19" t="str">
        <x:f>IF(OR($C246="",$D246=""),"",$I246-($D246*$H246))</x:f>
      </x:c>
      <x:c r="L246" s="18"/>
      <x:c r="M246" s="18"/>
    </x:row>
    <x:row r="247" ht="15" hidden="0" customHeight="1">
      <x:c r="A247" s="22"/>
      <x:c r="B247" s="18"/>
      <x:c r="C247" s="18"/>
      <x:c r="D247" s="18"/>
      <x:c r="E247" s="18" t="str">
        <x:f>IF($C247="","",XLOOKUP($C247,Products!$A$5:$A$34,Products!$B$5:$B$34,""))</x:f>
      </x:c>
      <x:c r="F247" s="18" t="str">
        <x:f>IF($C247="","",XLOOKUP($C247,Products!$A$5:$A$34,Products!$C$5:$C$34,""))</x:f>
      </x:c>
      <x:c r="G247" s="19" t="str">
        <x:f>IF($C247="","",XLOOKUP($C247,Products!$A$5:$A$34,Products!$F$5:$F$34,""))</x:f>
      </x:c>
      <x:c r="H247" s="19" t="str">
        <x:f>IF($C247="","",XLOOKUP($C247,Products!$A$5:$A$34,Products!$E$5:$E$34,""))</x:f>
      </x:c>
      <x:c r="I247" s="19" t="str">
        <x:f>IF(OR($C247="",$D247=""),"",($D247*$G247))</x:f>
      </x:c>
      <x:c r="J247" s="18"/>
      <x:c r="K247" s="19" t="str">
        <x:f>IF(OR($C247="",$D247=""),"",$I247-($D247*$H247))</x:f>
      </x:c>
      <x:c r="L247" s="18"/>
      <x:c r="M247" s="18"/>
    </x:row>
    <x:row r="248" ht="15" hidden="0" customHeight="1">
      <x:c r="A248" s="22"/>
      <x:c r="B248" s="18"/>
      <x:c r="C248" s="18"/>
      <x:c r="D248" s="18"/>
      <x:c r="E248" s="18" t="str">
        <x:f>IF($C248="","",XLOOKUP($C248,Products!$A$5:$A$34,Products!$B$5:$B$34,""))</x:f>
      </x:c>
      <x:c r="F248" s="18" t="str">
        <x:f>IF($C248="","",XLOOKUP($C248,Products!$A$5:$A$34,Products!$C$5:$C$34,""))</x:f>
      </x:c>
      <x:c r="G248" s="19" t="str">
        <x:f>IF($C248="","",XLOOKUP($C248,Products!$A$5:$A$34,Products!$F$5:$F$34,""))</x:f>
      </x:c>
      <x:c r="H248" s="19" t="str">
        <x:f>IF($C248="","",XLOOKUP($C248,Products!$A$5:$A$34,Products!$E$5:$E$34,""))</x:f>
      </x:c>
      <x:c r="I248" s="19" t="str">
        <x:f>IF(OR($C248="",$D248=""),"",($D248*$G248))</x:f>
      </x:c>
      <x:c r="J248" s="18"/>
      <x:c r="K248" s="19" t="str">
        <x:f>IF(OR($C248="",$D248=""),"",$I248-($D248*$H248))</x:f>
      </x:c>
      <x:c r="L248" s="18"/>
      <x:c r="M248" s="18"/>
    </x:row>
    <x:row r="249" ht="15" hidden="0" customHeight="1">
      <x:c r="A249" s="22"/>
      <x:c r="B249" s="18"/>
      <x:c r="C249" s="18"/>
      <x:c r="D249" s="18"/>
      <x:c r="E249" s="18" t="str">
        <x:f>IF($C249="","",XLOOKUP($C249,Products!$A$5:$A$34,Products!$B$5:$B$34,""))</x:f>
      </x:c>
      <x:c r="F249" s="18" t="str">
        <x:f>IF($C249="","",XLOOKUP($C249,Products!$A$5:$A$34,Products!$C$5:$C$34,""))</x:f>
      </x:c>
      <x:c r="G249" s="19" t="str">
        <x:f>IF($C249="","",XLOOKUP($C249,Products!$A$5:$A$34,Products!$F$5:$F$34,""))</x:f>
      </x:c>
      <x:c r="H249" s="19" t="str">
        <x:f>IF($C249="","",XLOOKUP($C249,Products!$A$5:$A$34,Products!$E$5:$E$34,""))</x:f>
      </x:c>
      <x:c r="I249" s="19" t="str">
        <x:f>IF(OR($C249="",$D249=""),"",($D249*$G249))</x:f>
      </x:c>
      <x:c r="J249" s="18"/>
      <x:c r="K249" s="19" t="str">
        <x:f>IF(OR($C249="",$D249=""),"",$I249-($D249*$H249))</x:f>
      </x:c>
      <x:c r="L249" s="18"/>
      <x:c r="M249" s="18"/>
    </x:row>
    <x:row r="250" ht="15" hidden="0" customHeight="1">
      <x:c r="A250" s="22"/>
      <x:c r="B250" s="18"/>
      <x:c r="C250" s="18"/>
      <x:c r="D250" s="18"/>
      <x:c r="E250" s="18" t="str">
        <x:f>IF($C250="","",XLOOKUP($C250,Products!$A$5:$A$34,Products!$B$5:$B$34,""))</x:f>
      </x:c>
      <x:c r="F250" s="18" t="str">
        <x:f>IF($C250="","",XLOOKUP($C250,Products!$A$5:$A$34,Products!$C$5:$C$34,""))</x:f>
      </x:c>
      <x:c r="G250" s="19" t="str">
        <x:f>IF($C250="","",XLOOKUP($C250,Products!$A$5:$A$34,Products!$F$5:$F$34,""))</x:f>
      </x:c>
      <x:c r="H250" s="19" t="str">
        <x:f>IF($C250="","",XLOOKUP($C250,Products!$A$5:$A$34,Products!$E$5:$E$34,""))</x:f>
      </x:c>
      <x:c r="I250" s="19" t="str">
        <x:f>IF(OR($C250="",$D250=""),"",($D250*$G250))</x:f>
      </x:c>
      <x:c r="J250" s="18"/>
      <x:c r="K250" s="19" t="str">
        <x:f>IF(OR($C250="",$D250=""),"",$I250-($D250*$H250))</x:f>
      </x:c>
      <x:c r="L250" s="18"/>
      <x:c r="M250" s="18"/>
    </x:row>
    <x:row r="251" ht="15" hidden="0" customHeight="1">
      <x:c r="A251" s="22"/>
      <x:c r="B251" s="18"/>
      <x:c r="C251" s="18"/>
      <x:c r="D251" s="18"/>
      <x:c r="E251" s="18" t="str">
        <x:f>IF($C251="","",XLOOKUP($C251,Products!$A$5:$A$34,Products!$B$5:$B$34,""))</x:f>
      </x:c>
      <x:c r="F251" s="18" t="str">
        <x:f>IF($C251="","",XLOOKUP($C251,Products!$A$5:$A$34,Products!$C$5:$C$34,""))</x:f>
      </x:c>
      <x:c r="G251" s="19" t="str">
        <x:f>IF($C251="","",XLOOKUP($C251,Products!$A$5:$A$34,Products!$F$5:$F$34,""))</x:f>
      </x:c>
      <x:c r="H251" s="19" t="str">
        <x:f>IF($C251="","",XLOOKUP($C251,Products!$A$5:$A$34,Products!$E$5:$E$34,""))</x:f>
      </x:c>
      <x:c r="I251" s="19" t="str">
        <x:f>IF(OR($C251="",$D251=""),"",($D251*$G251))</x:f>
      </x:c>
      <x:c r="J251" s="18"/>
      <x:c r="K251" s="19" t="str">
        <x:f>IF(OR($C251="",$D251=""),"",$I251-($D251*$H251))</x:f>
      </x:c>
      <x:c r="L251" s="18"/>
      <x:c r="M251" s="18"/>
    </x:row>
    <x:row r="252" ht="15" hidden="0" customHeight="1">
      <x:c r="A252" s="22"/>
      <x:c r="B252" s="18"/>
      <x:c r="C252" s="18"/>
      <x:c r="D252" s="18"/>
      <x:c r="E252" s="18" t="str">
        <x:f>IF($C252="","",XLOOKUP($C252,Products!$A$5:$A$34,Products!$B$5:$B$34,""))</x:f>
      </x:c>
      <x:c r="F252" s="18" t="str">
        <x:f>IF($C252="","",XLOOKUP($C252,Products!$A$5:$A$34,Products!$C$5:$C$34,""))</x:f>
      </x:c>
      <x:c r="G252" s="19" t="str">
        <x:f>IF($C252="","",XLOOKUP($C252,Products!$A$5:$A$34,Products!$F$5:$F$34,""))</x:f>
      </x:c>
      <x:c r="H252" s="19" t="str">
        <x:f>IF($C252="","",XLOOKUP($C252,Products!$A$5:$A$34,Products!$E$5:$E$34,""))</x:f>
      </x:c>
      <x:c r="I252" s="19" t="str">
        <x:f>IF(OR($C252="",$D252=""),"",($D252*$G252))</x:f>
      </x:c>
      <x:c r="J252" s="18"/>
      <x:c r="K252" s="19" t="str">
        <x:f>IF(OR($C252="",$D252=""),"",$I252-($D252*$H252))</x:f>
      </x:c>
      <x:c r="L252" s="18"/>
      <x:c r="M252" s="18"/>
    </x:row>
    <x:row r="253" ht="15" hidden="0" customHeight="1">
      <x:c r="A253" s="22"/>
      <x:c r="B253" s="18"/>
      <x:c r="C253" s="18"/>
      <x:c r="D253" s="18"/>
      <x:c r="E253" s="18" t="str">
        <x:f>IF($C253="","",XLOOKUP($C253,Products!$A$5:$A$34,Products!$B$5:$B$34,""))</x:f>
      </x:c>
      <x:c r="F253" s="18" t="str">
        <x:f>IF($C253="","",XLOOKUP($C253,Products!$A$5:$A$34,Products!$C$5:$C$34,""))</x:f>
      </x:c>
      <x:c r="G253" s="19" t="str">
        <x:f>IF($C253="","",XLOOKUP($C253,Products!$A$5:$A$34,Products!$F$5:$F$34,""))</x:f>
      </x:c>
      <x:c r="H253" s="19" t="str">
        <x:f>IF($C253="","",XLOOKUP($C253,Products!$A$5:$A$34,Products!$E$5:$E$34,""))</x:f>
      </x:c>
      <x:c r="I253" s="19" t="str">
        <x:f>IF(OR($C253="",$D253=""),"",($D253*$G253))</x:f>
      </x:c>
      <x:c r="J253" s="18"/>
      <x:c r="K253" s="19" t="str">
        <x:f>IF(OR($C253="",$D253=""),"",$I253-($D253*$H253))</x:f>
      </x:c>
      <x:c r="L253" s="18"/>
      <x:c r="M253" s="18"/>
    </x:row>
    <x:row r="254" ht="15" hidden="0" customHeight="1">
      <x:c r="A254" s="22"/>
      <x:c r="B254" s="18"/>
      <x:c r="C254" s="18"/>
      <x:c r="D254" s="18"/>
      <x:c r="E254" s="18" t="str">
        <x:f>IF($C254="","",XLOOKUP($C254,Products!$A$5:$A$34,Products!$B$5:$B$34,""))</x:f>
      </x:c>
      <x:c r="F254" s="18" t="str">
        <x:f>IF($C254="","",XLOOKUP($C254,Products!$A$5:$A$34,Products!$C$5:$C$34,""))</x:f>
      </x:c>
      <x:c r="G254" s="19" t="str">
        <x:f>IF($C254="","",XLOOKUP($C254,Products!$A$5:$A$34,Products!$F$5:$F$34,""))</x:f>
      </x:c>
      <x:c r="H254" s="19" t="str">
        <x:f>IF($C254="","",XLOOKUP($C254,Products!$A$5:$A$34,Products!$E$5:$E$34,""))</x:f>
      </x:c>
      <x:c r="I254" s="19" t="str">
        <x:f>IF(OR($C254="",$D254=""),"",($D254*$G254))</x:f>
      </x:c>
      <x:c r="J254" s="18"/>
      <x:c r="K254" s="19" t="str">
        <x:f>IF(OR($C254="",$D254=""),"",$I254-($D254*$H254))</x:f>
      </x:c>
      <x:c r="L254" s="18"/>
      <x:c r="M254" s="18"/>
    </x:row>
    <x:row r="255" ht="15" hidden="0" customHeight="1">
      <x:c r="A255" s="22"/>
      <x:c r="B255" s="18"/>
      <x:c r="C255" s="18"/>
      <x:c r="D255" s="18"/>
      <x:c r="E255" s="18" t="str">
        <x:f>IF($C255="","",XLOOKUP($C255,Products!$A$5:$A$34,Products!$B$5:$B$34,""))</x:f>
      </x:c>
      <x:c r="F255" s="18" t="str">
        <x:f>IF($C255="","",XLOOKUP($C255,Products!$A$5:$A$34,Products!$C$5:$C$34,""))</x:f>
      </x:c>
      <x:c r="G255" s="19" t="str">
        <x:f>IF($C255="","",XLOOKUP($C255,Products!$A$5:$A$34,Products!$F$5:$F$34,""))</x:f>
      </x:c>
      <x:c r="H255" s="19" t="str">
        <x:f>IF($C255="","",XLOOKUP($C255,Products!$A$5:$A$34,Products!$E$5:$E$34,""))</x:f>
      </x:c>
      <x:c r="I255" s="19" t="str">
        <x:f>IF(OR($C255="",$D255=""),"",($D255*$G255))</x:f>
      </x:c>
      <x:c r="J255" s="18"/>
      <x:c r="K255" s="19" t="str">
        <x:f>IF(OR($C255="",$D255=""),"",$I255-($D255*$H255))</x:f>
      </x:c>
      <x:c r="L255" s="18"/>
      <x:c r="M255" s="18"/>
    </x:row>
    <x:row r="256" ht="15" hidden="0" customHeight="1">
      <x:c r="A256" s="22"/>
      <x:c r="B256" s="18"/>
      <x:c r="C256" s="18"/>
      <x:c r="D256" s="18"/>
      <x:c r="E256" s="18" t="str">
        <x:f>IF($C256="","",XLOOKUP($C256,Products!$A$5:$A$34,Products!$B$5:$B$34,""))</x:f>
      </x:c>
      <x:c r="F256" s="18" t="str">
        <x:f>IF($C256="","",XLOOKUP($C256,Products!$A$5:$A$34,Products!$C$5:$C$34,""))</x:f>
      </x:c>
      <x:c r="G256" s="19" t="str">
        <x:f>IF($C256="","",XLOOKUP($C256,Products!$A$5:$A$34,Products!$F$5:$F$34,""))</x:f>
      </x:c>
      <x:c r="H256" s="19" t="str">
        <x:f>IF($C256="","",XLOOKUP($C256,Products!$A$5:$A$34,Products!$E$5:$E$34,""))</x:f>
      </x:c>
      <x:c r="I256" s="19" t="str">
        <x:f>IF(OR($C256="",$D256=""),"",($D256*$G256))</x:f>
      </x:c>
      <x:c r="J256" s="18"/>
      <x:c r="K256" s="19" t="str">
        <x:f>IF(OR($C256="",$D256=""),"",$I256-($D256*$H256))</x:f>
      </x:c>
      <x:c r="L256" s="18"/>
      <x:c r="M256" s="18"/>
    </x:row>
    <x:row r="257" ht="15" hidden="0" customHeight="1">
      <x:c r="A257" s="22"/>
      <x:c r="B257" s="18"/>
      <x:c r="C257" s="18"/>
      <x:c r="D257" s="18"/>
      <x:c r="E257" s="18" t="str">
        <x:f>IF($C257="","",XLOOKUP($C257,Products!$A$5:$A$34,Products!$B$5:$B$34,""))</x:f>
      </x:c>
      <x:c r="F257" s="18" t="str">
        <x:f>IF($C257="","",XLOOKUP($C257,Products!$A$5:$A$34,Products!$C$5:$C$34,""))</x:f>
      </x:c>
      <x:c r="G257" s="19" t="str">
        <x:f>IF($C257="","",XLOOKUP($C257,Products!$A$5:$A$34,Products!$F$5:$F$34,""))</x:f>
      </x:c>
      <x:c r="H257" s="19" t="str">
        <x:f>IF($C257="","",XLOOKUP($C257,Products!$A$5:$A$34,Products!$E$5:$E$34,""))</x:f>
      </x:c>
      <x:c r="I257" s="19" t="str">
        <x:f>IF(OR($C257="",$D257=""),"",($D257*$G257))</x:f>
      </x:c>
      <x:c r="J257" s="18"/>
      <x:c r="K257" s="19" t="str">
        <x:f>IF(OR($C257="",$D257=""),"",$I257-($D257*$H257))</x:f>
      </x:c>
      <x:c r="L257" s="18"/>
      <x:c r="M257" s="18"/>
    </x:row>
    <x:row r="258" ht="15" hidden="0" customHeight="1">
      <x:c r="A258" s="22"/>
      <x:c r="B258" s="18"/>
      <x:c r="C258" s="18"/>
      <x:c r="D258" s="18"/>
      <x:c r="E258" s="18" t="str">
        <x:f>IF($C258="","",XLOOKUP($C258,Products!$A$5:$A$34,Products!$B$5:$B$34,""))</x:f>
      </x:c>
      <x:c r="F258" s="18" t="str">
        <x:f>IF($C258="","",XLOOKUP($C258,Products!$A$5:$A$34,Products!$C$5:$C$34,""))</x:f>
      </x:c>
      <x:c r="G258" s="19" t="str">
        <x:f>IF($C258="","",XLOOKUP($C258,Products!$A$5:$A$34,Products!$F$5:$F$34,""))</x:f>
      </x:c>
      <x:c r="H258" s="19" t="str">
        <x:f>IF($C258="","",XLOOKUP($C258,Products!$A$5:$A$34,Products!$E$5:$E$34,""))</x:f>
      </x:c>
      <x:c r="I258" s="19" t="str">
        <x:f>IF(OR($C258="",$D258=""),"",($D258*$G258))</x:f>
      </x:c>
      <x:c r="J258" s="18"/>
      <x:c r="K258" s="19" t="str">
        <x:f>IF(OR($C258="",$D258=""),"",$I258-($D258*$H258))</x:f>
      </x:c>
      <x:c r="L258" s="18"/>
      <x:c r="M258" s="18"/>
    </x:row>
    <x:row r="259" ht="15" hidden="0" customHeight="1">
      <x:c r="A259" s="22"/>
      <x:c r="B259" s="18"/>
      <x:c r="C259" s="18"/>
      <x:c r="D259" s="18"/>
      <x:c r="E259" s="18" t="str">
        <x:f>IF($C259="","",XLOOKUP($C259,Products!$A$5:$A$34,Products!$B$5:$B$34,""))</x:f>
      </x:c>
      <x:c r="F259" s="18" t="str">
        <x:f>IF($C259="","",XLOOKUP($C259,Products!$A$5:$A$34,Products!$C$5:$C$34,""))</x:f>
      </x:c>
      <x:c r="G259" s="19" t="str">
        <x:f>IF($C259="","",XLOOKUP($C259,Products!$A$5:$A$34,Products!$F$5:$F$34,""))</x:f>
      </x:c>
      <x:c r="H259" s="19" t="str">
        <x:f>IF($C259="","",XLOOKUP($C259,Products!$A$5:$A$34,Products!$E$5:$E$34,""))</x:f>
      </x:c>
      <x:c r="I259" s="19" t="str">
        <x:f>IF(OR($C259="",$D259=""),"",($D259*$G259))</x:f>
      </x:c>
      <x:c r="J259" s="18"/>
      <x:c r="K259" s="19" t="str">
        <x:f>IF(OR($C259="",$D259=""),"",$I259-($D259*$H259))</x:f>
      </x:c>
      <x:c r="L259" s="18"/>
      <x:c r="M259" s="18"/>
    </x:row>
    <x:row r="260" ht="15" hidden="0" customHeight="1">
      <x:c r="A260" s="22"/>
      <x:c r="B260" s="18"/>
      <x:c r="C260" s="18"/>
      <x:c r="D260" s="18"/>
      <x:c r="E260" s="18" t="str">
        <x:f>IF($C260="","",XLOOKUP($C260,Products!$A$5:$A$34,Products!$B$5:$B$34,""))</x:f>
      </x:c>
      <x:c r="F260" s="18" t="str">
        <x:f>IF($C260="","",XLOOKUP($C260,Products!$A$5:$A$34,Products!$C$5:$C$34,""))</x:f>
      </x:c>
      <x:c r="G260" s="19" t="str">
        <x:f>IF($C260="","",XLOOKUP($C260,Products!$A$5:$A$34,Products!$F$5:$F$34,""))</x:f>
      </x:c>
      <x:c r="H260" s="19" t="str">
        <x:f>IF($C260="","",XLOOKUP($C260,Products!$A$5:$A$34,Products!$E$5:$E$34,""))</x:f>
      </x:c>
      <x:c r="I260" s="19" t="str">
        <x:f>IF(OR($C260="",$D260=""),"",($D260*$G260))</x:f>
      </x:c>
      <x:c r="J260" s="18"/>
      <x:c r="K260" s="19" t="str">
        <x:f>IF(OR($C260="",$D260=""),"",$I260-($D260*$H260))</x:f>
      </x:c>
      <x:c r="L260" s="18"/>
      <x:c r="M260" s="18"/>
    </x:row>
    <x:row r="261" ht="15" hidden="0" customHeight="1">
      <x:c r="A261" s="22"/>
      <x:c r="B261" s="18"/>
      <x:c r="C261" s="18"/>
      <x:c r="D261" s="18"/>
      <x:c r="E261" s="18" t="str">
        <x:f>IF($C261="","",XLOOKUP($C261,Products!$A$5:$A$34,Products!$B$5:$B$34,""))</x:f>
      </x:c>
      <x:c r="F261" s="18" t="str">
        <x:f>IF($C261="","",XLOOKUP($C261,Products!$A$5:$A$34,Products!$C$5:$C$34,""))</x:f>
      </x:c>
      <x:c r="G261" s="19" t="str">
        <x:f>IF($C261="","",XLOOKUP($C261,Products!$A$5:$A$34,Products!$F$5:$F$34,""))</x:f>
      </x:c>
      <x:c r="H261" s="19" t="str">
        <x:f>IF($C261="","",XLOOKUP($C261,Products!$A$5:$A$34,Products!$E$5:$E$34,""))</x:f>
      </x:c>
      <x:c r="I261" s="19" t="str">
        <x:f>IF(OR($C261="",$D261=""),"",($D261*$G261))</x:f>
      </x:c>
      <x:c r="J261" s="18"/>
      <x:c r="K261" s="19" t="str">
        <x:f>IF(OR($C261="",$D261=""),"",$I261-($D261*$H261))</x:f>
      </x:c>
      <x:c r="L261" s="18"/>
      <x:c r="M261" s="18"/>
    </x:row>
    <x:row r="262" ht="15" hidden="0" customHeight="1">
      <x:c r="A262" s="22"/>
      <x:c r="B262" s="18"/>
      <x:c r="C262" s="18"/>
      <x:c r="D262" s="18"/>
      <x:c r="E262" s="18" t="str">
        <x:f>IF($C262="","",XLOOKUP($C262,Products!$A$5:$A$34,Products!$B$5:$B$34,""))</x:f>
      </x:c>
      <x:c r="F262" s="18" t="str">
        <x:f>IF($C262="","",XLOOKUP($C262,Products!$A$5:$A$34,Products!$C$5:$C$34,""))</x:f>
      </x:c>
      <x:c r="G262" s="19" t="str">
        <x:f>IF($C262="","",XLOOKUP($C262,Products!$A$5:$A$34,Products!$F$5:$F$34,""))</x:f>
      </x:c>
      <x:c r="H262" s="19" t="str">
        <x:f>IF($C262="","",XLOOKUP($C262,Products!$A$5:$A$34,Products!$E$5:$E$34,""))</x:f>
      </x:c>
      <x:c r="I262" s="19" t="str">
        <x:f>IF(OR($C262="",$D262=""),"",($D262*$G262))</x:f>
      </x:c>
      <x:c r="J262" s="18"/>
      <x:c r="K262" s="19" t="str">
        <x:f>IF(OR($C262="",$D262=""),"",$I262-($D262*$H262))</x:f>
      </x:c>
      <x:c r="L262" s="18"/>
      <x:c r="M262" s="18"/>
    </x:row>
    <x:row r="263" ht="15" hidden="0" customHeight="1">
      <x:c r="A263" s="22"/>
      <x:c r="B263" s="18"/>
      <x:c r="C263" s="18"/>
      <x:c r="D263" s="18"/>
      <x:c r="E263" s="18" t="str">
        <x:f>IF($C263="","",XLOOKUP($C263,Products!$A$5:$A$34,Products!$B$5:$B$34,""))</x:f>
      </x:c>
      <x:c r="F263" s="18" t="str">
        <x:f>IF($C263="","",XLOOKUP($C263,Products!$A$5:$A$34,Products!$C$5:$C$34,""))</x:f>
      </x:c>
      <x:c r="G263" s="19" t="str">
        <x:f>IF($C263="","",XLOOKUP($C263,Products!$A$5:$A$34,Products!$F$5:$F$34,""))</x:f>
      </x:c>
      <x:c r="H263" s="19" t="str">
        <x:f>IF($C263="","",XLOOKUP($C263,Products!$A$5:$A$34,Products!$E$5:$E$34,""))</x:f>
      </x:c>
      <x:c r="I263" s="19" t="str">
        <x:f>IF(OR($C263="",$D263=""),"",($D263*$G263))</x:f>
      </x:c>
      <x:c r="J263" s="18"/>
      <x:c r="K263" s="19" t="str">
        <x:f>IF(OR($C263="",$D263=""),"",$I263-($D263*$H263))</x:f>
      </x:c>
      <x:c r="L263" s="18"/>
      <x:c r="M263" s="18"/>
    </x:row>
    <x:row r="264" ht="15" hidden="0" customHeight="1">
      <x:c r="A264" s="22"/>
      <x:c r="B264" s="18"/>
      <x:c r="C264" s="18"/>
      <x:c r="D264" s="18"/>
      <x:c r="E264" s="18" t="str">
        <x:f>IF($C264="","",XLOOKUP($C264,Products!$A$5:$A$34,Products!$B$5:$B$34,""))</x:f>
      </x:c>
      <x:c r="F264" s="18" t="str">
        <x:f>IF($C264="","",XLOOKUP($C264,Products!$A$5:$A$34,Products!$C$5:$C$34,""))</x:f>
      </x:c>
      <x:c r="G264" s="19" t="str">
        <x:f>IF($C264="","",XLOOKUP($C264,Products!$A$5:$A$34,Products!$F$5:$F$34,""))</x:f>
      </x:c>
      <x:c r="H264" s="19" t="str">
        <x:f>IF($C264="","",XLOOKUP($C264,Products!$A$5:$A$34,Products!$E$5:$E$34,""))</x:f>
      </x:c>
      <x:c r="I264" s="19" t="str">
        <x:f>IF(OR($C264="",$D264=""),"",($D264*$G264))</x:f>
      </x:c>
      <x:c r="J264" s="18"/>
      <x:c r="K264" s="19" t="str">
        <x:f>IF(OR($C264="",$D264=""),"",$I264-($D264*$H264))</x:f>
      </x:c>
      <x:c r="L264" s="18"/>
      <x:c r="M264" s="18"/>
    </x:row>
    <x:row r="265" ht="15" hidden="0" customHeight="1">
      <x:c r="A265" s="22"/>
      <x:c r="B265" s="18"/>
      <x:c r="C265" s="18"/>
      <x:c r="D265" s="18"/>
      <x:c r="E265" s="18" t="str">
        <x:f>IF($C265="","",XLOOKUP($C265,Products!$A$5:$A$34,Products!$B$5:$B$34,""))</x:f>
      </x:c>
      <x:c r="F265" s="18" t="str">
        <x:f>IF($C265="","",XLOOKUP($C265,Products!$A$5:$A$34,Products!$C$5:$C$34,""))</x:f>
      </x:c>
      <x:c r="G265" s="19" t="str">
        <x:f>IF($C265="","",XLOOKUP($C265,Products!$A$5:$A$34,Products!$F$5:$F$34,""))</x:f>
      </x:c>
      <x:c r="H265" s="19" t="str">
        <x:f>IF($C265="","",XLOOKUP($C265,Products!$A$5:$A$34,Products!$E$5:$E$34,""))</x:f>
      </x:c>
      <x:c r="I265" s="19" t="str">
        <x:f>IF(OR($C265="",$D265=""),"",($D265*$G265))</x:f>
      </x:c>
      <x:c r="J265" s="18"/>
      <x:c r="K265" s="19" t="str">
        <x:f>IF(OR($C265="",$D265=""),"",$I265-($D265*$H265))</x:f>
      </x:c>
      <x:c r="L265" s="18"/>
      <x:c r="M265" s="18"/>
    </x:row>
    <x:row r="266" ht="15" hidden="0" customHeight="1">
      <x:c r="A266" s="22"/>
      <x:c r="B266" s="18"/>
      <x:c r="C266" s="18"/>
      <x:c r="D266" s="18"/>
      <x:c r="E266" s="18" t="str">
        <x:f>IF($C266="","",XLOOKUP($C266,Products!$A$5:$A$34,Products!$B$5:$B$34,""))</x:f>
      </x:c>
      <x:c r="F266" s="18" t="str">
        <x:f>IF($C266="","",XLOOKUP($C266,Products!$A$5:$A$34,Products!$C$5:$C$34,""))</x:f>
      </x:c>
      <x:c r="G266" s="19" t="str">
        <x:f>IF($C266="","",XLOOKUP($C266,Products!$A$5:$A$34,Products!$F$5:$F$34,""))</x:f>
      </x:c>
      <x:c r="H266" s="19" t="str">
        <x:f>IF($C266="","",XLOOKUP($C266,Products!$A$5:$A$34,Products!$E$5:$E$34,""))</x:f>
      </x:c>
      <x:c r="I266" s="19" t="str">
        <x:f>IF(OR($C266="",$D266=""),"",($D266*$G266))</x:f>
      </x:c>
      <x:c r="J266" s="18"/>
      <x:c r="K266" s="19" t="str">
        <x:f>IF(OR($C266="",$D266=""),"",$I266-($D266*$H266))</x:f>
      </x:c>
      <x:c r="L266" s="18"/>
      <x:c r="M266" s="18"/>
    </x:row>
    <x:row r="267" ht="15" hidden="0" customHeight="1">
      <x:c r="A267" s="22"/>
      <x:c r="B267" s="18"/>
      <x:c r="C267" s="18"/>
      <x:c r="D267" s="18"/>
      <x:c r="E267" s="18" t="str">
        <x:f>IF($C267="","",XLOOKUP($C267,Products!$A$5:$A$34,Products!$B$5:$B$34,""))</x:f>
      </x:c>
      <x:c r="F267" s="18" t="str">
        <x:f>IF($C267="","",XLOOKUP($C267,Products!$A$5:$A$34,Products!$C$5:$C$34,""))</x:f>
      </x:c>
      <x:c r="G267" s="19" t="str">
        <x:f>IF($C267="","",XLOOKUP($C267,Products!$A$5:$A$34,Products!$F$5:$F$34,""))</x:f>
      </x:c>
      <x:c r="H267" s="19" t="str">
        <x:f>IF($C267="","",XLOOKUP($C267,Products!$A$5:$A$34,Products!$E$5:$E$34,""))</x:f>
      </x:c>
      <x:c r="I267" s="19" t="str">
        <x:f>IF(OR($C267="",$D267=""),"",($D267*$G267))</x:f>
      </x:c>
      <x:c r="J267" s="18"/>
      <x:c r="K267" s="19" t="str">
        <x:f>IF(OR($C267="",$D267=""),"",$I267-($D267*$H267))</x:f>
      </x:c>
      <x:c r="L267" s="18"/>
      <x:c r="M267" s="18"/>
    </x:row>
    <x:row r="268" ht="15" hidden="0" customHeight="1">
      <x:c r="A268" s="22"/>
      <x:c r="B268" s="18"/>
      <x:c r="C268" s="18"/>
      <x:c r="D268" s="18"/>
      <x:c r="E268" s="18" t="str">
        <x:f>IF($C268="","",XLOOKUP($C268,Products!$A$5:$A$34,Products!$B$5:$B$34,""))</x:f>
      </x:c>
      <x:c r="F268" s="18" t="str">
        <x:f>IF($C268="","",XLOOKUP($C268,Products!$A$5:$A$34,Products!$C$5:$C$34,""))</x:f>
      </x:c>
      <x:c r="G268" s="19" t="str">
        <x:f>IF($C268="","",XLOOKUP($C268,Products!$A$5:$A$34,Products!$F$5:$F$34,""))</x:f>
      </x:c>
      <x:c r="H268" s="19" t="str">
        <x:f>IF($C268="","",XLOOKUP($C268,Products!$A$5:$A$34,Products!$E$5:$E$34,""))</x:f>
      </x:c>
      <x:c r="I268" s="19" t="str">
        <x:f>IF(OR($C268="",$D268=""),"",($D268*$G268))</x:f>
      </x:c>
      <x:c r="J268" s="18"/>
      <x:c r="K268" s="19" t="str">
        <x:f>IF(OR($C268="",$D268=""),"",$I268-($D268*$H268))</x:f>
      </x:c>
      <x:c r="L268" s="18"/>
      <x:c r="M268" s="18"/>
    </x:row>
    <x:row r="269" ht="15" hidden="0" customHeight="1">
      <x:c r="A269" s="22"/>
      <x:c r="B269" s="18"/>
      <x:c r="C269" s="18"/>
      <x:c r="D269" s="18"/>
      <x:c r="E269" s="18" t="str">
        <x:f>IF($C269="","",XLOOKUP($C269,Products!$A$5:$A$34,Products!$B$5:$B$34,""))</x:f>
      </x:c>
      <x:c r="F269" s="18" t="str">
        <x:f>IF($C269="","",XLOOKUP($C269,Products!$A$5:$A$34,Products!$C$5:$C$34,""))</x:f>
      </x:c>
      <x:c r="G269" s="19" t="str">
        <x:f>IF($C269="","",XLOOKUP($C269,Products!$A$5:$A$34,Products!$F$5:$F$34,""))</x:f>
      </x:c>
      <x:c r="H269" s="19" t="str">
        <x:f>IF($C269="","",XLOOKUP($C269,Products!$A$5:$A$34,Products!$E$5:$E$34,""))</x:f>
      </x:c>
      <x:c r="I269" s="19" t="str">
        <x:f>IF(OR($C269="",$D269=""),"",($D269*$G269))</x:f>
      </x:c>
      <x:c r="J269" s="18"/>
      <x:c r="K269" s="19" t="str">
        <x:f>IF(OR($C269="",$D269=""),"",$I269-($D269*$H269))</x:f>
      </x:c>
      <x:c r="L269" s="18"/>
      <x:c r="M269" s="18"/>
    </x:row>
    <x:row r="270" ht="15" hidden="0" customHeight="1">
      <x:c r="A270" s="22"/>
      <x:c r="B270" s="18"/>
      <x:c r="C270" s="18"/>
      <x:c r="D270" s="18"/>
      <x:c r="E270" s="18" t="str">
        <x:f>IF($C270="","",XLOOKUP($C270,Products!$A$5:$A$34,Products!$B$5:$B$34,""))</x:f>
      </x:c>
      <x:c r="F270" s="18" t="str">
        <x:f>IF($C270="","",XLOOKUP($C270,Products!$A$5:$A$34,Products!$C$5:$C$34,""))</x:f>
      </x:c>
      <x:c r="G270" s="19" t="str">
        <x:f>IF($C270="","",XLOOKUP($C270,Products!$A$5:$A$34,Products!$F$5:$F$34,""))</x:f>
      </x:c>
      <x:c r="H270" s="19" t="str">
        <x:f>IF($C270="","",XLOOKUP($C270,Products!$A$5:$A$34,Products!$E$5:$E$34,""))</x:f>
      </x:c>
      <x:c r="I270" s="19" t="str">
        <x:f>IF(OR($C270="",$D270=""),"",($D270*$G270))</x:f>
      </x:c>
      <x:c r="J270" s="18"/>
      <x:c r="K270" s="19" t="str">
        <x:f>IF(OR($C270="",$D270=""),"",$I270-($D270*$H270))</x:f>
      </x:c>
      <x:c r="L270" s="18"/>
      <x:c r="M270" s="18"/>
    </x:row>
    <x:row r="271" ht="15" hidden="0" customHeight="1">
      <x:c r="A271" s="22"/>
      <x:c r="B271" s="18"/>
      <x:c r="C271" s="18"/>
      <x:c r="D271" s="18"/>
      <x:c r="E271" s="18" t="str">
        <x:f>IF($C271="","",XLOOKUP($C271,Products!$A$5:$A$34,Products!$B$5:$B$34,""))</x:f>
      </x:c>
      <x:c r="F271" s="18" t="str">
        <x:f>IF($C271="","",XLOOKUP($C271,Products!$A$5:$A$34,Products!$C$5:$C$34,""))</x:f>
      </x:c>
      <x:c r="G271" s="19" t="str">
        <x:f>IF($C271="","",XLOOKUP($C271,Products!$A$5:$A$34,Products!$F$5:$F$34,""))</x:f>
      </x:c>
      <x:c r="H271" s="19" t="str">
        <x:f>IF($C271="","",XLOOKUP($C271,Products!$A$5:$A$34,Products!$E$5:$E$34,""))</x:f>
      </x:c>
      <x:c r="I271" s="19" t="str">
        <x:f>IF(OR($C271="",$D271=""),"",($D271*$G271))</x:f>
      </x:c>
      <x:c r="J271" s="18"/>
      <x:c r="K271" s="19" t="str">
        <x:f>IF(OR($C271="",$D271=""),"",$I271-($D271*$H271))</x:f>
      </x:c>
      <x:c r="L271" s="18"/>
      <x:c r="M271" s="18"/>
    </x:row>
    <x:row r="272" ht="15" hidden="0" customHeight="1">
      <x:c r="A272" s="22"/>
      <x:c r="B272" s="18"/>
      <x:c r="C272" s="18"/>
      <x:c r="D272" s="18"/>
      <x:c r="E272" s="18" t="str">
        <x:f>IF($C272="","",XLOOKUP($C272,Products!$A$5:$A$34,Products!$B$5:$B$34,""))</x:f>
      </x:c>
      <x:c r="F272" s="18" t="str">
        <x:f>IF($C272="","",XLOOKUP($C272,Products!$A$5:$A$34,Products!$C$5:$C$34,""))</x:f>
      </x:c>
      <x:c r="G272" s="19" t="str">
        <x:f>IF($C272="","",XLOOKUP($C272,Products!$A$5:$A$34,Products!$F$5:$F$34,""))</x:f>
      </x:c>
      <x:c r="H272" s="19" t="str">
        <x:f>IF($C272="","",XLOOKUP($C272,Products!$A$5:$A$34,Products!$E$5:$E$34,""))</x:f>
      </x:c>
      <x:c r="I272" s="19" t="str">
        <x:f>IF(OR($C272="",$D272=""),"",($D272*$G272))</x:f>
      </x:c>
      <x:c r="J272" s="18"/>
      <x:c r="K272" s="19" t="str">
        <x:f>IF(OR($C272="",$D272=""),"",$I272-($D272*$H272))</x:f>
      </x:c>
      <x:c r="L272" s="18"/>
      <x:c r="M272" s="18"/>
    </x:row>
    <x:row r="273" ht="15" hidden="0" customHeight="1">
      <x:c r="A273" s="22"/>
      <x:c r="B273" s="18"/>
      <x:c r="C273" s="18"/>
      <x:c r="D273" s="18"/>
      <x:c r="E273" s="18" t="str">
        <x:f>IF($C273="","",XLOOKUP($C273,Products!$A$5:$A$34,Products!$B$5:$B$34,""))</x:f>
      </x:c>
      <x:c r="F273" s="18" t="str">
        <x:f>IF($C273="","",XLOOKUP($C273,Products!$A$5:$A$34,Products!$C$5:$C$34,""))</x:f>
      </x:c>
      <x:c r="G273" s="19" t="str">
        <x:f>IF($C273="","",XLOOKUP($C273,Products!$A$5:$A$34,Products!$F$5:$F$34,""))</x:f>
      </x:c>
      <x:c r="H273" s="19" t="str">
        <x:f>IF($C273="","",XLOOKUP($C273,Products!$A$5:$A$34,Products!$E$5:$E$34,""))</x:f>
      </x:c>
      <x:c r="I273" s="19" t="str">
        <x:f>IF(OR($C273="",$D273=""),"",($D273*$G273))</x:f>
      </x:c>
      <x:c r="J273" s="18"/>
      <x:c r="K273" s="19" t="str">
        <x:f>IF(OR($C273="",$D273=""),"",$I273-($D273*$H273))</x:f>
      </x:c>
      <x:c r="L273" s="18"/>
      <x:c r="M273" s="18"/>
    </x:row>
    <x:row r="274" ht="15" hidden="0" customHeight="1">
      <x:c r="A274" s="22"/>
      <x:c r="B274" s="18"/>
      <x:c r="C274" s="18"/>
      <x:c r="D274" s="18"/>
      <x:c r="E274" s="18" t="str">
        <x:f>IF($C274="","",XLOOKUP($C274,Products!$A$5:$A$34,Products!$B$5:$B$34,""))</x:f>
      </x:c>
      <x:c r="F274" s="18" t="str">
        <x:f>IF($C274="","",XLOOKUP($C274,Products!$A$5:$A$34,Products!$C$5:$C$34,""))</x:f>
      </x:c>
      <x:c r="G274" s="19" t="str">
        <x:f>IF($C274="","",XLOOKUP($C274,Products!$A$5:$A$34,Products!$F$5:$F$34,""))</x:f>
      </x:c>
      <x:c r="H274" s="19" t="str">
        <x:f>IF($C274="","",XLOOKUP($C274,Products!$A$5:$A$34,Products!$E$5:$E$34,""))</x:f>
      </x:c>
      <x:c r="I274" s="19" t="str">
        <x:f>IF(OR($C274="",$D274=""),"",($D274*$G274))</x:f>
      </x:c>
      <x:c r="J274" s="18"/>
      <x:c r="K274" s="19" t="str">
        <x:f>IF(OR($C274="",$D274=""),"",$I274-($D274*$H274))</x:f>
      </x:c>
      <x:c r="L274" s="18"/>
      <x:c r="M274" s="18"/>
    </x:row>
    <x:row r="275" ht="15" hidden="0" customHeight="1">
      <x:c r="A275" s="22"/>
      <x:c r="B275" s="18"/>
      <x:c r="C275" s="18"/>
      <x:c r="D275" s="18"/>
      <x:c r="E275" s="18" t="str">
        <x:f>IF($C275="","",XLOOKUP($C275,Products!$A$5:$A$34,Products!$B$5:$B$34,""))</x:f>
      </x:c>
      <x:c r="F275" s="18" t="str">
        <x:f>IF($C275="","",XLOOKUP($C275,Products!$A$5:$A$34,Products!$C$5:$C$34,""))</x:f>
      </x:c>
      <x:c r="G275" s="19" t="str">
        <x:f>IF($C275="","",XLOOKUP($C275,Products!$A$5:$A$34,Products!$F$5:$F$34,""))</x:f>
      </x:c>
      <x:c r="H275" s="19" t="str">
        <x:f>IF($C275="","",XLOOKUP($C275,Products!$A$5:$A$34,Products!$E$5:$E$34,""))</x:f>
      </x:c>
      <x:c r="I275" s="19" t="str">
        <x:f>IF(OR($C275="",$D275=""),"",($D275*$G275))</x:f>
      </x:c>
      <x:c r="J275" s="18"/>
      <x:c r="K275" s="19" t="str">
        <x:f>IF(OR($C275="",$D275=""),"",$I275-($D275*$H275))</x:f>
      </x:c>
      <x:c r="L275" s="18"/>
      <x:c r="M275" s="18"/>
    </x:row>
    <x:row r="276" ht="15" hidden="0" customHeight="1">
      <x:c r="A276" s="22"/>
      <x:c r="B276" s="18"/>
      <x:c r="C276" s="18"/>
      <x:c r="D276" s="18"/>
      <x:c r="E276" s="18" t="str">
        <x:f>IF($C276="","",XLOOKUP($C276,Products!$A$5:$A$34,Products!$B$5:$B$34,""))</x:f>
      </x:c>
      <x:c r="F276" s="18" t="str">
        <x:f>IF($C276="","",XLOOKUP($C276,Products!$A$5:$A$34,Products!$C$5:$C$34,""))</x:f>
      </x:c>
      <x:c r="G276" s="19" t="str">
        <x:f>IF($C276="","",XLOOKUP($C276,Products!$A$5:$A$34,Products!$F$5:$F$34,""))</x:f>
      </x:c>
      <x:c r="H276" s="19" t="str">
        <x:f>IF($C276="","",XLOOKUP($C276,Products!$A$5:$A$34,Products!$E$5:$E$34,""))</x:f>
      </x:c>
      <x:c r="I276" s="19" t="str">
        <x:f>IF(OR($C276="",$D276=""),"",($D276*$G276))</x:f>
      </x:c>
      <x:c r="J276" s="18"/>
      <x:c r="K276" s="19" t="str">
        <x:f>IF(OR($C276="",$D276=""),"",$I276-($D276*$H276))</x:f>
      </x:c>
      <x:c r="L276" s="18"/>
      <x:c r="M276" s="18"/>
    </x:row>
    <x:row r="277" ht="15" hidden="0" customHeight="1">
      <x:c r="A277" s="22"/>
      <x:c r="B277" s="18"/>
      <x:c r="C277" s="18"/>
      <x:c r="D277" s="18"/>
      <x:c r="E277" s="18" t="str">
        <x:f>IF($C277="","",XLOOKUP($C277,Products!$A$5:$A$34,Products!$B$5:$B$34,""))</x:f>
      </x:c>
      <x:c r="F277" s="18" t="str">
        <x:f>IF($C277="","",XLOOKUP($C277,Products!$A$5:$A$34,Products!$C$5:$C$34,""))</x:f>
      </x:c>
      <x:c r="G277" s="19" t="str">
        <x:f>IF($C277="","",XLOOKUP($C277,Products!$A$5:$A$34,Products!$F$5:$F$34,""))</x:f>
      </x:c>
      <x:c r="H277" s="19" t="str">
        <x:f>IF($C277="","",XLOOKUP($C277,Products!$A$5:$A$34,Products!$E$5:$E$34,""))</x:f>
      </x:c>
      <x:c r="I277" s="19" t="str">
        <x:f>IF(OR($C277="",$D277=""),"",($D277*$G277))</x:f>
      </x:c>
      <x:c r="J277" s="18"/>
      <x:c r="K277" s="19" t="str">
        <x:f>IF(OR($C277="",$D277=""),"",$I277-($D277*$H277))</x:f>
      </x:c>
      <x:c r="L277" s="18"/>
      <x:c r="M277" s="18"/>
    </x:row>
    <x:row r="278" ht="15" hidden="0" customHeight="1">
      <x:c r="A278" s="22"/>
      <x:c r="B278" s="18"/>
      <x:c r="C278" s="18"/>
      <x:c r="D278" s="18"/>
      <x:c r="E278" s="18" t="str">
        <x:f>IF($C278="","",XLOOKUP($C278,Products!$A$5:$A$34,Products!$B$5:$B$34,""))</x:f>
      </x:c>
      <x:c r="F278" s="18" t="str">
        <x:f>IF($C278="","",XLOOKUP($C278,Products!$A$5:$A$34,Products!$C$5:$C$34,""))</x:f>
      </x:c>
      <x:c r="G278" s="19" t="str">
        <x:f>IF($C278="","",XLOOKUP($C278,Products!$A$5:$A$34,Products!$F$5:$F$34,""))</x:f>
      </x:c>
      <x:c r="H278" s="19" t="str">
        <x:f>IF($C278="","",XLOOKUP($C278,Products!$A$5:$A$34,Products!$E$5:$E$34,""))</x:f>
      </x:c>
      <x:c r="I278" s="19" t="str">
        <x:f>IF(OR($C278="",$D278=""),"",($D278*$G278))</x:f>
      </x:c>
      <x:c r="J278" s="18"/>
      <x:c r="K278" s="19" t="str">
        <x:f>IF(OR($C278="",$D278=""),"",$I278-($D278*$H278))</x:f>
      </x:c>
      <x:c r="L278" s="18"/>
      <x:c r="M278" s="18"/>
    </x:row>
    <x:row r="279" ht="15" hidden="0" customHeight="1">
      <x:c r="A279" s="22"/>
      <x:c r="B279" s="18"/>
      <x:c r="C279" s="18"/>
      <x:c r="D279" s="18"/>
      <x:c r="E279" s="18" t="str">
        <x:f>IF($C279="","",XLOOKUP($C279,Products!$A$5:$A$34,Products!$B$5:$B$34,""))</x:f>
      </x:c>
      <x:c r="F279" s="18" t="str">
        <x:f>IF($C279="","",XLOOKUP($C279,Products!$A$5:$A$34,Products!$C$5:$C$34,""))</x:f>
      </x:c>
      <x:c r="G279" s="19" t="str">
        <x:f>IF($C279="","",XLOOKUP($C279,Products!$A$5:$A$34,Products!$F$5:$F$34,""))</x:f>
      </x:c>
      <x:c r="H279" s="19" t="str">
        <x:f>IF($C279="","",XLOOKUP($C279,Products!$A$5:$A$34,Products!$E$5:$E$34,""))</x:f>
      </x:c>
      <x:c r="I279" s="19" t="str">
        <x:f>IF(OR($C279="",$D279=""),"",($D279*$G279))</x:f>
      </x:c>
      <x:c r="J279" s="18"/>
      <x:c r="K279" s="19" t="str">
        <x:f>IF(OR($C279="",$D279=""),"",$I279-($D279*$H279))</x:f>
      </x:c>
      <x:c r="L279" s="18"/>
      <x:c r="M279" s="18"/>
    </x:row>
    <x:row r="280" ht="15" hidden="0" customHeight="1">
      <x:c r="A280" s="22"/>
      <x:c r="B280" s="18"/>
      <x:c r="C280" s="18"/>
      <x:c r="D280" s="18"/>
      <x:c r="E280" s="18" t="str">
        <x:f>IF($C280="","",XLOOKUP($C280,Products!$A$5:$A$34,Products!$B$5:$B$34,""))</x:f>
      </x:c>
      <x:c r="F280" s="18" t="str">
        <x:f>IF($C280="","",XLOOKUP($C280,Products!$A$5:$A$34,Products!$C$5:$C$34,""))</x:f>
      </x:c>
      <x:c r="G280" s="19" t="str">
        <x:f>IF($C280="","",XLOOKUP($C280,Products!$A$5:$A$34,Products!$F$5:$F$34,""))</x:f>
      </x:c>
      <x:c r="H280" s="19" t="str">
        <x:f>IF($C280="","",XLOOKUP($C280,Products!$A$5:$A$34,Products!$E$5:$E$34,""))</x:f>
      </x:c>
      <x:c r="I280" s="19" t="str">
        <x:f>IF(OR($C280="",$D280=""),"",($D280*$G280))</x:f>
      </x:c>
      <x:c r="J280" s="18"/>
      <x:c r="K280" s="19" t="str">
        <x:f>IF(OR($C280="",$D280=""),"",$I280-($D280*$H280))</x:f>
      </x:c>
      <x:c r="L280" s="18"/>
      <x:c r="M280" s="18"/>
    </x:row>
    <x:row r="281" ht="15" hidden="0" customHeight="1">
      <x:c r="A281" s="22"/>
      <x:c r="B281" s="18"/>
      <x:c r="C281" s="18"/>
      <x:c r="D281" s="18"/>
      <x:c r="E281" s="18" t="str">
        <x:f>IF($C281="","",XLOOKUP($C281,Products!$A$5:$A$34,Products!$B$5:$B$34,""))</x:f>
      </x:c>
      <x:c r="F281" s="18" t="str">
        <x:f>IF($C281="","",XLOOKUP($C281,Products!$A$5:$A$34,Products!$C$5:$C$34,""))</x:f>
      </x:c>
      <x:c r="G281" s="19" t="str">
        <x:f>IF($C281="","",XLOOKUP($C281,Products!$A$5:$A$34,Products!$F$5:$F$34,""))</x:f>
      </x:c>
      <x:c r="H281" s="19" t="str">
        <x:f>IF($C281="","",XLOOKUP($C281,Products!$A$5:$A$34,Products!$E$5:$E$34,""))</x:f>
      </x:c>
      <x:c r="I281" s="19" t="str">
        <x:f>IF(OR($C281="",$D281=""),"",($D281*$G281))</x:f>
      </x:c>
      <x:c r="J281" s="18"/>
      <x:c r="K281" s="19" t="str">
        <x:f>IF(OR($C281="",$D281=""),"",$I281-($D281*$H281))</x:f>
      </x:c>
      <x:c r="L281" s="18"/>
      <x:c r="M281" s="18"/>
    </x:row>
    <x:row r="282" ht="15" hidden="0" customHeight="1">
      <x:c r="A282" s="22"/>
      <x:c r="B282" s="18"/>
      <x:c r="C282" s="18"/>
      <x:c r="D282" s="18"/>
      <x:c r="E282" s="18" t="str">
        <x:f>IF($C282="","",XLOOKUP($C282,Products!$A$5:$A$34,Products!$B$5:$B$34,""))</x:f>
      </x:c>
      <x:c r="F282" s="18" t="str">
        <x:f>IF($C282="","",XLOOKUP($C282,Products!$A$5:$A$34,Products!$C$5:$C$34,""))</x:f>
      </x:c>
      <x:c r="G282" s="19" t="str">
        <x:f>IF($C282="","",XLOOKUP($C282,Products!$A$5:$A$34,Products!$F$5:$F$34,""))</x:f>
      </x:c>
      <x:c r="H282" s="19" t="str">
        <x:f>IF($C282="","",XLOOKUP($C282,Products!$A$5:$A$34,Products!$E$5:$E$34,""))</x:f>
      </x:c>
      <x:c r="I282" s="19" t="str">
        <x:f>IF(OR($C282="",$D282=""),"",($D282*$G282))</x:f>
      </x:c>
      <x:c r="J282" s="18"/>
      <x:c r="K282" s="19" t="str">
        <x:f>IF(OR($C282="",$D282=""),"",$I282-($D282*$H282))</x:f>
      </x:c>
      <x:c r="L282" s="18"/>
      <x:c r="M282" s="18"/>
    </x:row>
    <x:row r="283" ht="15" hidden="0" customHeight="1">
      <x:c r="A283" s="22"/>
      <x:c r="B283" s="18"/>
      <x:c r="C283" s="18"/>
      <x:c r="D283" s="18"/>
      <x:c r="E283" s="18" t="str">
        <x:f>IF($C283="","",XLOOKUP($C283,Products!$A$5:$A$34,Products!$B$5:$B$34,""))</x:f>
      </x:c>
      <x:c r="F283" s="18" t="str">
        <x:f>IF($C283="","",XLOOKUP($C283,Products!$A$5:$A$34,Products!$C$5:$C$34,""))</x:f>
      </x:c>
      <x:c r="G283" s="19" t="str">
        <x:f>IF($C283="","",XLOOKUP($C283,Products!$A$5:$A$34,Products!$F$5:$F$34,""))</x:f>
      </x:c>
      <x:c r="H283" s="19" t="str">
        <x:f>IF($C283="","",XLOOKUP($C283,Products!$A$5:$A$34,Products!$E$5:$E$34,""))</x:f>
      </x:c>
      <x:c r="I283" s="19" t="str">
        <x:f>IF(OR($C283="",$D283=""),"",($D283*$G283))</x:f>
      </x:c>
      <x:c r="J283" s="18"/>
      <x:c r="K283" s="19" t="str">
        <x:f>IF(OR($C283="",$D283=""),"",$I283-($D283*$H283))</x:f>
      </x:c>
      <x:c r="L283" s="18"/>
      <x:c r="M283" s="18"/>
    </x:row>
    <x:row r="284" ht="15" hidden="0" customHeight="1">
      <x:c r="A284" s="22"/>
      <x:c r="B284" s="18"/>
      <x:c r="C284" s="18"/>
      <x:c r="D284" s="18"/>
      <x:c r="E284" s="18" t="str">
        <x:f>IF($C284="","",XLOOKUP($C284,Products!$A$5:$A$34,Products!$B$5:$B$34,""))</x:f>
      </x:c>
      <x:c r="F284" s="18" t="str">
        <x:f>IF($C284="","",XLOOKUP($C284,Products!$A$5:$A$34,Products!$C$5:$C$34,""))</x:f>
      </x:c>
      <x:c r="G284" s="19" t="str">
        <x:f>IF($C284="","",XLOOKUP($C284,Products!$A$5:$A$34,Products!$F$5:$F$34,""))</x:f>
      </x:c>
      <x:c r="H284" s="19" t="str">
        <x:f>IF($C284="","",XLOOKUP($C284,Products!$A$5:$A$34,Products!$E$5:$E$34,""))</x:f>
      </x:c>
      <x:c r="I284" s="19" t="str">
        <x:f>IF(OR($C284="",$D284=""),"",($D284*$G284))</x:f>
      </x:c>
      <x:c r="J284" s="18"/>
      <x:c r="K284" s="19" t="str">
        <x:f>IF(OR($C284="",$D284=""),"",$I284-($D284*$H284))</x:f>
      </x:c>
      <x:c r="L284" s="18"/>
      <x:c r="M284" s="18"/>
    </x:row>
    <x:row r="285" ht="15" hidden="0" customHeight="1">
      <x:c r="A285" s="22"/>
      <x:c r="B285" s="18"/>
      <x:c r="C285" s="18"/>
      <x:c r="D285" s="18"/>
      <x:c r="E285" s="18" t="str">
        <x:f>IF($C285="","",XLOOKUP($C285,Products!$A$5:$A$34,Products!$B$5:$B$34,""))</x:f>
      </x:c>
      <x:c r="F285" s="18" t="str">
        <x:f>IF($C285="","",XLOOKUP($C285,Products!$A$5:$A$34,Products!$C$5:$C$34,""))</x:f>
      </x:c>
      <x:c r="G285" s="19" t="str">
        <x:f>IF($C285="","",XLOOKUP($C285,Products!$A$5:$A$34,Products!$F$5:$F$34,""))</x:f>
      </x:c>
      <x:c r="H285" s="19" t="str">
        <x:f>IF($C285="","",XLOOKUP($C285,Products!$A$5:$A$34,Products!$E$5:$E$34,""))</x:f>
      </x:c>
      <x:c r="I285" s="19" t="str">
        <x:f>IF(OR($C285="",$D285=""),"",($D285*$G285))</x:f>
      </x:c>
      <x:c r="J285" s="18"/>
      <x:c r="K285" s="19" t="str">
        <x:f>IF(OR($C285="",$D285=""),"",$I285-($D285*$H285))</x:f>
      </x:c>
      <x:c r="L285" s="18"/>
      <x:c r="M285" s="18"/>
    </x:row>
    <x:row r="286" ht="15" hidden="0" customHeight="1">
      <x:c r="A286" s="22"/>
      <x:c r="B286" s="18"/>
      <x:c r="C286" s="18"/>
      <x:c r="D286" s="18"/>
      <x:c r="E286" s="18" t="str">
        <x:f>IF($C286="","",XLOOKUP($C286,Products!$A$5:$A$34,Products!$B$5:$B$34,""))</x:f>
      </x:c>
      <x:c r="F286" s="18" t="str">
        <x:f>IF($C286="","",XLOOKUP($C286,Products!$A$5:$A$34,Products!$C$5:$C$34,""))</x:f>
      </x:c>
      <x:c r="G286" s="19" t="str">
        <x:f>IF($C286="","",XLOOKUP($C286,Products!$A$5:$A$34,Products!$F$5:$F$34,""))</x:f>
      </x:c>
      <x:c r="H286" s="19" t="str">
        <x:f>IF($C286="","",XLOOKUP($C286,Products!$A$5:$A$34,Products!$E$5:$E$34,""))</x:f>
      </x:c>
      <x:c r="I286" s="19" t="str">
        <x:f>IF(OR($C286="",$D286=""),"",($D286*$G286))</x:f>
      </x:c>
      <x:c r="J286" s="18"/>
      <x:c r="K286" s="19" t="str">
        <x:f>IF(OR($C286="",$D286=""),"",$I286-($D286*$H286))</x:f>
      </x:c>
      <x:c r="L286" s="18"/>
      <x:c r="M286" s="18"/>
    </x:row>
    <x:row r="287" ht="15" hidden="0" customHeight="1">
      <x:c r="A287" s="22"/>
      <x:c r="B287" s="18"/>
      <x:c r="C287" s="18"/>
      <x:c r="D287" s="18"/>
      <x:c r="E287" s="18" t="str">
        <x:f>IF($C287="","",XLOOKUP($C287,Products!$A$5:$A$34,Products!$B$5:$B$34,""))</x:f>
      </x:c>
      <x:c r="F287" s="18" t="str">
        <x:f>IF($C287="","",XLOOKUP($C287,Products!$A$5:$A$34,Products!$C$5:$C$34,""))</x:f>
      </x:c>
      <x:c r="G287" s="19" t="str">
        <x:f>IF($C287="","",XLOOKUP($C287,Products!$A$5:$A$34,Products!$F$5:$F$34,""))</x:f>
      </x:c>
      <x:c r="H287" s="19" t="str">
        <x:f>IF($C287="","",XLOOKUP($C287,Products!$A$5:$A$34,Products!$E$5:$E$34,""))</x:f>
      </x:c>
      <x:c r="I287" s="19" t="str">
        <x:f>IF(OR($C287="",$D287=""),"",($D287*$G287))</x:f>
      </x:c>
      <x:c r="J287" s="18"/>
      <x:c r="K287" s="19" t="str">
        <x:f>IF(OR($C287="",$D287=""),"",$I287-($D287*$H287))</x:f>
      </x:c>
      <x:c r="L287" s="18"/>
      <x:c r="M287" s="18"/>
    </x:row>
    <x:row r="288" ht="15" hidden="0" customHeight="1">
      <x:c r="A288" s="22"/>
      <x:c r="B288" s="18"/>
      <x:c r="C288" s="18"/>
      <x:c r="D288" s="18"/>
      <x:c r="E288" s="18" t="str">
        <x:f>IF($C288="","",XLOOKUP($C288,Products!$A$5:$A$34,Products!$B$5:$B$34,""))</x:f>
      </x:c>
      <x:c r="F288" s="18" t="str">
        <x:f>IF($C288="","",XLOOKUP($C288,Products!$A$5:$A$34,Products!$C$5:$C$34,""))</x:f>
      </x:c>
      <x:c r="G288" s="19" t="str">
        <x:f>IF($C288="","",XLOOKUP($C288,Products!$A$5:$A$34,Products!$F$5:$F$34,""))</x:f>
      </x:c>
      <x:c r="H288" s="19" t="str">
        <x:f>IF($C288="","",XLOOKUP($C288,Products!$A$5:$A$34,Products!$E$5:$E$34,""))</x:f>
      </x:c>
      <x:c r="I288" s="19" t="str">
        <x:f>IF(OR($C288="",$D288=""),"",($D288*$G288))</x:f>
      </x:c>
      <x:c r="J288" s="18"/>
      <x:c r="K288" s="19" t="str">
        <x:f>IF(OR($C288="",$D288=""),"",$I288-($D288*$H288))</x:f>
      </x:c>
      <x:c r="L288" s="18"/>
      <x:c r="M288" s="18"/>
    </x:row>
    <x:row r="289" ht="15" hidden="0" customHeight="1">
      <x:c r="A289" s="22"/>
      <x:c r="B289" s="18"/>
      <x:c r="C289" s="18"/>
      <x:c r="D289" s="18"/>
      <x:c r="E289" s="18" t="str">
        <x:f>IF($C289="","",XLOOKUP($C289,Products!$A$5:$A$34,Products!$B$5:$B$34,""))</x:f>
      </x:c>
      <x:c r="F289" s="18" t="str">
        <x:f>IF($C289="","",XLOOKUP($C289,Products!$A$5:$A$34,Products!$C$5:$C$34,""))</x:f>
      </x:c>
      <x:c r="G289" s="19" t="str">
        <x:f>IF($C289="","",XLOOKUP($C289,Products!$A$5:$A$34,Products!$F$5:$F$34,""))</x:f>
      </x:c>
      <x:c r="H289" s="19" t="str">
        <x:f>IF($C289="","",XLOOKUP($C289,Products!$A$5:$A$34,Products!$E$5:$E$34,""))</x:f>
      </x:c>
      <x:c r="I289" s="19" t="str">
        <x:f>IF(OR($C289="",$D289=""),"",($D289*$G289))</x:f>
      </x:c>
      <x:c r="J289" s="18"/>
      <x:c r="K289" s="19" t="str">
        <x:f>IF(OR($C289="",$D289=""),"",$I289-($D289*$H289))</x:f>
      </x:c>
      <x:c r="L289" s="18"/>
      <x:c r="M289" s="18"/>
    </x:row>
    <x:row r="290" ht="15" hidden="0" customHeight="1">
      <x:c r="A290" s="22"/>
      <x:c r="B290" s="18"/>
      <x:c r="C290" s="18"/>
      <x:c r="D290" s="18"/>
      <x:c r="E290" s="18" t="str">
        <x:f>IF($C290="","",XLOOKUP($C290,Products!$A$5:$A$34,Products!$B$5:$B$34,""))</x:f>
      </x:c>
      <x:c r="F290" s="18" t="str">
        <x:f>IF($C290="","",XLOOKUP($C290,Products!$A$5:$A$34,Products!$C$5:$C$34,""))</x:f>
      </x:c>
      <x:c r="G290" s="19" t="str">
        <x:f>IF($C290="","",XLOOKUP($C290,Products!$A$5:$A$34,Products!$F$5:$F$34,""))</x:f>
      </x:c>
      <x:c r="H290" s="19" t="str">
        <x:f>IF($C290="","",XLOOKUP($C290,Products!$A$5:$A$34,Products!$E$5:$E$34,""))</x:f>
      </x:c>
      <x:c r="I290" s="19" t="str">
        <x:f>IF(OR($C290="",$D290=""),"",($D290*$G290))</x:f>
      </x:c>
      <x:c r="J290" s="18"/>
      <x:c r="K290" s="19" t="str">
        <x:f>IF(OR($C290="",$D290=""),"",$I290-($D290*$H290))</x:f>
      </x:c>
      <x:c r="L290" s="18"/>
      <x:c r="M290" s="18"/>
    </x:row>
    <x:row r="291" ht="15" hidden="0" customHeight="1">
      <x:c r="A291" s="22"/>
      <x:c r="B291" s="18"/>
      <x:c r="C291" s="18"/>
      <x:c r="D291" s="18"/>
      <x:c r="E291" s="18" t="str">
        <x:f>IF($C291="","",XLOOKUP($C291,Products!$A$5:$A$34,Products!$B$5:$B$34,""))</x:f>
      </x:c>
      <x:c r="F291" s="18" t="str">
        <x:f>IF($C291="","",XLOOKUP($C291,Products!$A$5:$A$34,Products!$C$5:$C$34,""))</x:f>
      </x:c>
      <x:c r="G291" s="19" t="str">
        <x:f>IF($C291="","",XLOOKUP($C291,Products!$A$5:$A$34,Products!$F$5:$F$34,""))</x:f>
      </x:c>
      <x:c r="H291" s="19" t="str">
        <x:f>IF($C291="","",XLOOKUP($C291,Products!$A$5:$A$34,Products!$E$5:$E$34,""))</x:f>
      </x:c>
      <x:c r="I291" s="19" t="str">
        <x:f>IF(OR($C291="",$D291=""),"",($D291*$G291))</x:f>
      </x:c>
      <x:c r="J291" s="18"/>
      <x:c r="K291" s="19" t="str">
        <x:f>IF(OR($C291="",$D291=""),"",$I291-($D291*$H291))</x:f>
      </x:c>
      <x:c r="L291" s="18"/>
      <x:c r="M291" s="18"/>
    </x:row>
    <x:row r="292" ht="15" hidden="0" customHeight="1">
      <x:c r="A292" s="22"/>
      <x:c r="B292" s="18"/>
      <x:c r="C292" s="18"/>
      <x:c r="D292" s="18"/>
      <x:c r="E292" s="18" t="str">
        <x:f>IF($C292="","",XLOOKUP($C292,Products!$A$5:$A$34,Products!$B$5:$B$34,""))</x:f>
      </x:c>
      <x:c r="F292" s="18" t="str">
        <x:f>IF($C292="","",XLOOKUP($C292,Products!$A$5:$A$34,Products!$C$5:$C$34,""))</x:f>
      </x:c>
      <x:c r="G292" s="19" t="str">
        <x:f>IF($C292="","",XLOOKUP($C292,Products!$A$5:$A$34,Products!$F$5:$F$34,""))</x:f>
      </x:c>
      <x:c r="H292" s="19" t="str">
        <x:f>IF($C292="","",XLOOKUP($C292,Products!$A$5:$A$34,Products!$E$5:$E$34,""))</x:f>
      </x:c>
      <x:c r="I292" s="19" t="str">
        <x:f>IF(OR($C292="",$D292=""),"",($D292*$G292))</x:f>
      </x:c>
      <x:c r="J292" s="18"/>
      <x:c r="K292" s="19" t="str">
        <x:f>IF(OR($C292="",$D292=""),"",$I292-($D292*$H292))</x:f>
      </x:c>
      <x:c r="L292" s="18"/>
      <x:c r="M292" s="18"/>
    </x:row>
    <x:row r="293" ht="15" hidden="0" customHeight="1">
      <x:c r="A293" s="22"/>
      <x:c r="B293" s="18"/>
      <x:c r="C293" s="18"/>
      <x:c r="D293" s="18"/>
      <x:c r="E293" s="18" t="str">
        <x:f>IF($C293="","",XLOOKUP($C293,Products!$A$5:$A$34,Products!$B$5:$B$34,""))</x:f>
      </x:c>
      <x:c r="F293" s="18" t="str">
        <x:f>IF($C293="","",XLOOKUP($C293,Products!$A$5:$A$34,Products!$C$5:$C$34,""))</x:f>
      </x:c>
      <x:c r="G293" s="19" t="str">
        <x:f>IF($C293="","",XLOOKUP($C293,Products!$A$5:$A$34,Products!$F$5:$F$34,""))</x:f>
      </x:c>
      <x:c r="H293" s="19" t="str">
        <x:f>IF($C293="","",XLOOKUP($C293,Products!$A$5:$A$34,Products!$E$5:$E$34,""))</x:f>
      </x:c>
      <x:c r="I293" s="19" t="str">
        <x:f>IF(OR($C293="",$D293=""),"",($D293*$G293))</x:f>
      </x:c>
      <x:c r="J293" s="18"/>
      <x:c r="K293" s="19" t="str">
        <x:f>IF(OR($C293="",$D293=""),"",$I293-($D293*$H293))</x:f>
      </x:c>
      <x:c r="L293" s="18"/>
      <x:c r="M293" s="18"/>
    </x:row>
    <x:row r="294" ht="15" hidden="0" customHeight="1">
      <x:c r="A294" s="22"/>
      <x:c r="B294" s="18"/>
      <x:c r="C294" s="18"/>
      <x:c r="D294" s="18"/>
      <x:c r="E294" s="18" t="str">
        <x:f>IF($C294="","",XLOOKUP($C294,Products!$A$5:$A$34,Products!$B$5:$B$34,""))</x:f>
      </x:c>
      <x:c r="F294" s="18" t="str">
        <x:f>IF($C294="","",XLOOKUP($C294,Products!$A$5:$A$34,Products!$C$5:$C$34,""))</x:f>
      </x:c>
      <x:c r="G294" s="19" t="str">
        <x:f>IF($C294="","",XLOOKUP($C294,Products!$A$5:$A$34,Products!$F$5:$F$34,""))</x:f>
      </x:c>
      <x:c r="H294" s="19" t="str">
        <x:f>IF($C294="","",XLOOKUP($C294,Products!$A$5:$A$34,Products!$E$5:$E$34,""))</x:f>
      </x:c>
      <x:c r="I294" s="19" t="str">
        <x:f>IF(OR($C294="",$D294=""),"",($D294*$G294))</x:f>
      </x:c>
      <x:c r="J294" s="18"/>
      <x:c r="K294" s="19" t="str">
        <x:f>IF(OR($C294="",$D294=""),"",$I294-($D294*$H294))</x:f>
      </x:c>
      <x:c r="L294" s="18"/>
      <x:c r="M294" s="18"/>
    </x:row>
    <x:row r="295" ht="15" hidden="0" customHeight="1">
      <x:c r="A295" s="22"/>
      <x:c r="B295" s="18"/>
      <x:c r="C295" s="18"/>
      <x:c r="D295" s="18"/>
      <x:c r="E295" s="18" t="str">
        <x:f>IF($C295="","",XLOOKUP($C295,Products!$A$5:$A$34,Products!$B$5:$B$34,""))</x:f>
      </x:c>
      <x:c r="F295" s="18" t="str">
        <x:f>IF($C295="","",XLOOKUP($C295,Products!$A$5:$A$34,Products!$C$5:$C$34,""))</x:f>
      </x:c>
      <x:c r="G295" s="19" t="str">
        <x:f>IF($C295="","",XLOOKUP($C295,Products!$A$5:$A$34,Products!$F$5:$F$34,""))</x:f>
      </x:c>
      <x:c r="H295" s="19" t="str">
        <x:f>IF($C295="","",XLOOKUP($C295,Products!$A$5:$A$34,Products!$E$5:$E$34,""))</x:f>
      </x:c>
      <x:c r="I295" s="19" t="str">
        <x:f>IF(OR($C295="",$D295=""),"",($D295*$G295))</x:f>
      </x:c>
      <x:c r="J295" s="18"/>
      <x:c r="K295" s="19" t="str">
        <x:f>IF(OR($C295="",$D295=""),"",$I295-($D295*$H295))</x:f>
      </x:c>
      <x:c r="L295" s="18"/>
      <x:c r="M295" s="18"/>
    </x:row>
    <x:row r="296" ht="15" hidden="0" customHeight="1">
      <x:c r="A296" s="22"/>
      <x:c r="B296" s="18"/>
      <x:c r="C296" s="18"/>
      <x:c r="D296" s="18"/>
      <x:c r="E296" s="18" t="str">
        <x:f>IF($C296="","",XLOOKUP($C296,Products!$A$5:$A$34,Products!$B$5:$B$34,""))</x:f>
      </x:c>
      <x:c r="F296" s="18" t="str">
        <x:f>IF($C296="","",XLOOKUP($C296,Products!$A$5:$A$34,Products!$C$5:$C$34,""))</x:f>
      </x:c>
      <x:c r="G296" s="19" t="str">
        <x:f>IF($C296="","",XLOOKUP($C296,Products!$A$5:$A$34,Products!$F$5:$F$34,""))</x:f>
      </x:c>
      <x:c r="H296" s="19" t="str">
        <x:f>IF($C296="","",XLOOKUP($C296,Products!$A$5:$A$34,Products!$E$5:$E$34,""))</x:f>
      </x:c>
      <x:c r="I296" s="19" t="str">
        <x:f>IF(OR($C296="",$D296=""),"",($D296*$G296))</x:f>
      </x:c>
      <x:c r="J296" s="18"/>
      <x:c r="K296" s="19" t="str">
        <x:f>IF(OR($C296="",$D296=""),"",$I296-($D296*$H296))</x:f>
      </x:c>
      <x:c r="L296" s="18"/>
      <x:c r="M296" s="18"/>
    </x:row>
    <x:row r="297" ht="15" hidden="0" customHeight="1">
      <x:c r="A297" s="22"/>
      <x:c r="B297" s="18"/>
      <x:c r="C297" s="18"/>
      <x:c r="D297" s="18"/>
      <x:c r="E297" s="18" t="str">
        <x:f>IF($C297="","",XLOOKUP($C297,Products!$A$5:$A$34,Products!$B$5:$B$34,""))</x:f>
      </x:c>
      <x:c r="F297" s="18" t="str">
        <x:f>IF($C297="","",XLOOKUP($C297,Products!$A$5:$A$34,Products!$C$5:$C$34,""))</x:f>
      </x:c>
      <x:c r="G297" s="19" t="str">
        <x:f>IF($C297="","",XLOOKUP($C297,Products!$A$5:$A$34,Products!$F$5:$F$34,""))</x:f>
      </x:c>
      <x:c r="H297" s="19" t="str">
        <x:f>IF($C297="","",XLOOKUP($C297,Products!$A$5:$A$34,Products!$E$5:$E$34,""))</x:f>
      </x:c>
      <x:c r="I297" s="19" t="str">
        <x:f>IF(OR($C297="",$D297=""),"",($D297*$G297))</x:f>
      </x:c>
      <x:c r="J297" s="18"/>
      <x:c r="K297" s="19" t="str">
        <x:f>IF(OR($C297="",$D297=""),"",$I297-($D297*$H297))</x:f>
      </x:c>
      <x:c r="L297" s="18"/>
      <x:c r="M297" s="18"/>
    </x:row>
    <x:row r="298" ht="15" hidden="0" customHeight="1">
      <x:c r="A298" s="22"/>
      <x:c r="B298" s="18"/>
      <x:c r="C298" s="18"/>
      <x:c r="D298" s="18"/>
      <x:c r="E298" s="18" t="str">
        <x:f>IF($C298="","",XLOOKUP($C298,Products!$A$5:$A$34,Products!$B$5:$B$34,""))</x:f>
      </x:c>
      <x:c r="F298" s="18" t="str">
        <x:f>IF($C298="","",XLOOKUP($C298,Products!$A$5:$A$34,Products!$C$5:$C$34,""))</x:f>
      </x:c>
      <x:c r="G298" s="19" t="str">
        <x:f>IF($C298="","",XLOOKUP($C298,Products!$A$5:$A$34,Products!$F$5:$F$34,""))</x:f>
      </x:c>
      <x:c r="H298" s="19" t="str">
        <x:f>IF($C298="","",XLOOKUP($C298,Products!$A$5:$A$34,Products!$E$5:$E$34,""))</x:f>
      </x:c>
      <x:c r="I298" s="19" t="str">
        <x:f>IF(OR($C298="",$D298=""),"",($D298*$G298))</x:f>
      </x:c>
      <x:c r="J298" s="18"/>
      <x:c r="K298" s="19" t="str">
        <x:f>IF(OR($C298="",$D298=""),"",$I298-($D298*$H298))</x:f>
      </x:c>
      <x:c r="L298" s="18"/>
      <x:c r="M298" s="18"/>
    </x:row>
    <x:row r="299" ht="15" hidden="0" customHeight="1">
      <x:c r="A299" s="22"/>
      <x:c r="B299" s="18"/>
      <x:c r="C299" s="18"/>
      <x:c r="D299" s="18"/>
      <x:c r="E299" s="18" t="str">
        <x:f>IF($C299="","",XLOOKUP($C299,Products!$A$5:$A$34,Products!$B$5:$B$34,""))</x:f>
      </x:c>
      <x:c r="F299" s="18" t="str">
        <x:f>IF($C299="","",XLOOKUP($C299,Products!$A$5:$A$34,Products!$C$5:$C$34,""))</x:f>
      </x:c>
      <x:c r="G299" s="19" t="str">
        <x:f>IF($C299="","",XLOOKUP($C299,Products!$A$5:$A$34,Products!$F$5:$F$34,""))</x:f>
      </x:c>
      <x:c r="H299" s="19" t="str">
        <x:f>IF($C299="","",XLOOKUP($C299,Products!$A$5:$A$34,Products!$E$5:$E$34,""))</x:f>
      </x:c>
      <x:c r="I299" s="19" t="str">
        <x:f>IF(OR($C299="",$D299=""),"",($D299*$G299))</x:f>
      </x:c>
      <x:c r="J299" s="18"/>
      <x:c r="K299" s="19" t="str">
        <x:f>IF(OR($C299="",$D299=""),"",$I299-($D299*$H299))</x:f>
      </x:c>
      <x:c r="L299" s="18"/>
      <x:c r="M299" s="18"/>
    </x:row>
    <x:row r="300" ht="15" hidden="0" customHeight="1">
      <x:c r="A300" s="22"/>
      <x:c r="B300" s="18"/>
      <x:c r="C300" s="18"/>
      <x:c r="D300" s="18"/>
      <x:c r="E300" s="18" t="str">
        <x:f>IF($C300="","",XLOOKUP($C300,Products!$A$5:$A$34,Products!$B$5:$B$34,""))</x:f>
      </x:c>
      <x:c r="F300" s="18" t="str">
        <x:f>IF($C300="","",XLOOKUP($C300,Products!$A$5:$A$34,Products!$C$5:$C$34,""))</x:f>
      </x:c>
      <x:c r="G300" s="19" t="str">
        <x:f>IF($C300="","",XLOOKUP($C300,Products!$A$5:$A$34,Products!$F$5:$F$34,""))</x:f>
      </x:c>
      <x:c r="H300" s="19" t="str">
        <x:f>IF($C300="","",XLOOKUP($C300,Products!$A$5:$A$34,Products!$E$5:$E$34,""))</x:f>
      </x:c>
      <x:c r="I300" s="19" t="str">
        <x:f>IF(OR($C300="",$D300=""),"",($D300*$G300))</x:f>
      </x:c>
      <x:c r="J300" s="18"/>
      <x:c r="K300" s="19" t="str">
        <x:f>IF(OR($C300="",$D300=""),"",$I300-($D300*$H300))</x:f>
      </x:c>
      <x:c r="L300" s="18"/>
      <x:c r="M300" s="18"/>
    </x:row>
    <x:row r="301" ht="15" hidden="0" customHeight="1">
      <x:c r="A301" s="22"/>
      <x:c r="B301" s="18"/>
      <x:c r="C301" s="18"/>
      <x:c r="D301" s="18"/>
      <x:c r="E301" s="18" t="str">
        <x:f>IF($C301="","",XLOOKUP($C301,Products!$A$5:$A$34,Products!$B$5:$B$34,""))</x:f>
      </x:c>
      <x:c r="F301" s="18" t="str">
        <x:f>IF($C301="","",XLOOKUP($C301,Products!$A$5:$A$34,Products!$C$5:$C$34,""))</x:f>
      </x:c>
      <x:c r="G301" s="19" t="str">
        <x:f>IF($C301="","",XLOOKUP($C301,Products!$A$5:$A$34,Products!$F$5:$F$34,""))</x:f>
      </x:c>
      <x:c r="H301" s="19" t="str">
        <x:f>IF($C301="","",XLOOKUP($C301,Products!$A$5:$A$34,Products!$E$5:$E$34,""))</x:f>
      </x:c>
      <x:c r="I301" s="19" t="str">
        <x:f>IF(OR($C301="",$D301=""),"",($D301*$G301))</x:f>
      </x:c>
      <x:c r="J301" s="18"/>
      <x:c r="K301" s="19" t="str">
        <x:f>IF(OR($C301="",$D301=""),"",$I301-($D301*$H301))</x:f>
      </x:c>
      <x:c r="L301" s="18"/>
      <x:c r="M301" s="18"/>
    </x:row>
    <x:row r="302" ht="15" hidden="0" customHeight="1">
      <x:c r="A302" s="22"/>
      <x:c r="B302" s="18"/>
      <x:c r="C302" s="18"/>
      <x:c r="D302" s="18"/>
      <x:c r="E302" s="18" t="str">
        <x:f>IF($C302="","",XLOOKUP($C302,Products!$A$5:$A$34,Products!$B$5:$B$34,""))</x:f>
      </x:c>
      <x:c r="F302" s="18" t="str">
        <x:f>IF($C302="","",XLOOKUP($C302,Products!$A$5:$A$34,Products!$C$5:$C$34,""))</x:f>
      </x:c>
      <x:c r="G302" s="19" t="str">
        <x:f>IF($C302="","",XLOOKUP($C302,Products!$A$5:$A$34,Products!$F$5:$F$34,""))</x:f>
      </x:c>
      <x:c r="H302" s="19" t="str">
        <x:f>IF($C302="","",XLOOKUP($C302,Products!$A$5:$A$34,Products!$E$5:$E$34,""))</x:f>
      </x:c>
      <x:c r="I302" s="19" t="str">
        <x:f>IF(OR($C302="",$D302=""),"",($D302*$G302))</x:f>
      </x:c>
      <x:c r="J302" s="18"/>
      <x:c r="K302" s="19" t="str">
        <x:f>IF(OR($C302="",$D302=""),"",$I302-($D302*$H302))</x:f>
      </x:c>
      <x:c r="L302" s="18"/>
      <x:c r="M302" s="18"/>
    </x:row>
    <x:row r="303" ht="15" hidden="0" customHeight="1">
      <x:c r="A303" s="22"/>
      <x:c r="B303" s="18"/>
      <x:c r="C303" s="18"/>
      <x:c r="D303" s="18"/>
      <x:c r="E303" s="18" t="str">
        <x:f>IF($C303="","",XLOOKUP($C303,Products!$A$5:$A$34,Products!$B$5:$B$34,""))</x:f>
      </x:c>
      <x:c r="F303" s="18" t="str">
        <x:f>IF($C303="","",XLOOKUP($C303,Products!$A$5:$A$34,Products!$C$5:$C$34,""))</x:f>
      </x:c>
      <x:c r="G303" s="19" t="str">
        <x:f>IF($C303="","",XLOOKUP($C303,Products!$A$5:$A$34,Products!$F$5:$F$34,""))</x:f>
      </x:c>
      <x:c r="H303" s="19" t="str">
        <x:f>IF($C303="","",XLOOKUP($C303,Products!$A$5:$A$34,Products!$E$5:$E$34,""))</x:f>
      </x:c>
      <x:c r="I303" s="19" t="str">
        <x:f>IF(OR($C303="",$D303=""),"",($D303*$G303))</x:f>
      </x:c>
      <x:c r="J303" s="18"/>
      <x:c r="K303" s="19" t="str">
        <x:f>IF(OR($C303="",$D303=""),"",$I303-($D303*$H303))</x:f>
      </x:c>
      <x:c r="L303" s="18"/>
      <x:c r="M303" s="18"/>
    </x:row>
    <x:row r="304" ht="15" hidden="0" customHeight="1">
      <x:c r="A304" s="22"/>
      <x:c r="B304" s="18"/>
      <x:c r="C304" s="18"/>
      <x:c r="D304" s="18"/>
      <x:c r="E304" s="18" t="str">
        <x:f>IF($C304="","",XLOOKUP($C304,Products!$A$5:$A$34,Products!$B$5:$B$34,""))</x:f>
      </x:c>
      <x:c r="F304" s="18" t="str">
        <x:f>IF($C304="","",XLOOKUP($C304,Products!$A$5:$A$34,Products!$C$5:$C$34,""))</x:f>
      </x:c>
      <x:c r="G304" s="19" t="str">
        <x:f>IF($C304="","",XLOOKUP($C304,Products!$A$5:$A$34,Products!$F$5:$F$34,""))</x:f>
      </x:c>
      <x:c r="H304" s="19" t="str">
        <x:f>IF($C304="","",XLOOKUP($C304,Products!$A$5:$A$34,Products!$E$5:$E$34,""))</x:f>
      </x:c>
      <x:c r="I304" s="19" t="str">
        <x:f>IF(OR($C304="",$D304=""),"",($D304*$G304))</x:f>
      </x:c>
      <x:c r="J304" s="18"/>
      <x:c r="K304" s="19" t="str">
        <x:f>IF(OR($C304="",$D304=""),"",$I304-($D304*$H304))</x:f>
      </x:c>
      <x:c r="L304" s="18"/>
      <x:c r="M304" s="18"/>
    </x:row>
    <x:row r="305" ht="15" hidden="0" customHeight="1">
      <x:c r="A305" s="22"/>
      <x:c r="B305" s="18"/>
      <x:c r="C305" s="18"/>
      <x:c r="D305" s="18"/>
      <x:c r="E305" s="18" t="str">
        <x:f>IF($C305="","",XLOOKUP($C305,Products!$A$5:$A$34,Products!$B$5:$B$34,""))</x:f>
      </x:c>
      <x:c r="F305" s="18" t="str">
        <x:f>IF($C305="","",XLOOKUP($C305,Products!$A$5:$A$34,Products!$C$5:$C$34,""))</x:f>
      </x:c>
      <x:c r="G305" s="19" t="str">
        <x:f>IF($C305="","",XLOOKUP($C305,Products!$A$5:$A$34,Products!$F$5:$F$34,""))</x:f>
      </x:c>
      <x:c r="H305" s="19" t="str">
        <x:f>IF($C305="","",XLOOKUP($C305,Products!$A$5:$A$34,Products!$E$5:$E$34,""))</x:f>
      </x:c>
      <x:c r="I305" s="19" t="str">
        <x:f>IF(OR($C305="",$D305=""),"",($D305*$G305))</x:f>
      </x:c>
      <x:c r="J305" s="18"/>
      <x:c r="K305" s="19" t="str">
        <x:f>IF(OR($C305="",$D305=""),"",$I305-($D305*$H305))</x:f>
      </x:c>
      <x:c r="L305" s="18"/>
      <x:c r="M305" s="18"/>
    </x:row>
    <x:row r="306" ht="15" hidden="0" customHeight="1">
      <x:c r="A306" s="22"/>
      <x:c r="B306" s="18"/>
      <x:c r="C306" s="18"/>
      <x:c r="D306" s="18"/>
      <x:c r="E306" s="18" t="str">
        <x:f>IF($C306="","",XLOOKUP($C306,Products!$A$5:$A$34,Products!$B$5:$B$34,""))</x:f>
      </x:c>
      <x:c r="F306" s="18" t="str">
        <x:f>IF($C306="","",XLOOKUP($C306,Products!$A$5:$A$34,Products!$C$5:$C$34,""))</x:f>
      </x:c>
      <x:c r="G306" s="19" t="str">
        <x:f>IF($C306="","",XLOOKUP($C306,Products!$A$5:$A$34,Products!$F$5:$F$34,""))</x:f>
      </x:c>
      <x:c r="H306" s="19" t="str">
        <x:f>IF($C306="","",XLOOKUP($C306,Products!$A$5:$A$34,Products!$E$5:$E$34,""))</x:f>
      </x:c>
      <x:c r="I306" s="19" t="str">
        <x:f>IF(OR($C306="",$D306=""),"",($D306*$G306))</x:f>
      </x:c>
      <x:c r="J306" s="18"/>
      <x:c r="K306" s="19" t="str">
        <x:f>IF(OR($C306="",$D306=""),"",$I306-($D306*$H306))</x:f>
      </x:c>
      <x:c r="L306" s="18"/>
      <x:c r="M306" s="18"/>
    </x:row>
    <x:row r="307" ht="15" hidden="0" customHeight="1">
      <x:c r="A307" s="22"/>
      <x:c r="B307" s="18"/>
      <x:c r="C307" s="18"/>
      <x:c r="D307" s="18"/>
      <x:c r="E307" s="18" t="str">
        <x:f>IF($C307="","",XLOOKUP($C307,Products!$A$5:$A$34,Products!$B$5:$B$34,""))</x:f>
      </x:c>
      <x:c r="F307" s="18" t="str">
        <x:f>IF($C307="","",XLOOKUP($C307,Products!$A$5:$A$34,Products!$C$5:$C$34,""))</x:f>
      </x:c>
      <x:c r="G307" s="19" t="str">
        <x:f>IF($C307="","",XLOOKUP($C307,Products!$A$5:$A$34,Products!$F$5:$F$34,""))</x:f>
      </x:c>
      <x:c r="H307" s="19" t="str">
        <x:f>IF($C307="","",XLOOKUP($C307,Products!$A$5:$A$34,Products!$E$5:$E$34,""))</x:f>
      </x:c>
      <x:c r="I307" s="19" t="str">
        <x:f>IF(OR($C307="",$D307=""),"",($D307*$G307))</x:f>
      </x:c>
      <x:c r="J307" s="18"/>
      <x:c r="K307" s="19" t="str">
        <x:f>IF(OR($C307="",$D307=""),"",$I307-($D307*$H307))</x:f>
      </x:c>
      <x:c r="L307" s="18"/>
      <x:c r="M307" s="18"/>
    </x:row>
    <x:row r="308" ht="15" hidden="0" customHeight="1">
      <x:c r="A308" s="22"/>
      <x:c r="B308" s="18"/>
      <x:c r="C308" s="18"/>
      <x:c r="D308" s="18"/>
      <x:c r="E308" s="18" t="str">
        <x:f>IF($C308="","",XLOOKUP($C308,Products!$A$5:$A$34,Products!$B$5:$B$34,""))</x:f>
      </x:c>
      <x:c r="F308" s="18" t="str">
        <x:f>IF($C308="","",XLOOKUP($C308,Products!$A$5:$A$34,Products!$C$5:$C$34,""))</x:f>
      </x:c>
      <x:c r="G308" s="19" t="str">
        <x:f>IF($C308="","",XLOOKUP($C308,Products!$A$5:$A$34,Products!$F$5:$F$34,""))</x:f>
      </x:c>
      <x:c r="H308" s="19" t="str">
        <x:f>IF($C308="","",XLOOKUP($C308,Products!$A$5:$A$34,Products!$E$5:$E$34,""))</x:f>
      </x:c>
      <x:c r="I308" s="19" t="str">
        <x:f>IF(OR($C308="",$D308=""),"",($D308*$G308))</x:f>
      </x:c>
      <x:c r="J308" s="18"/>
      <x:c r="K308" s="19" t="str">
        <x:f>IF(OR($C308="",$D308=""),"",$I308-($D308*$H308))</x:f>
      </x:c>
      <x:c r="L308" s="18"/>
      <x:c r="M308" s="18"/>
    </x:row>
    <x:row r="309" ht="15" hidden="0" customHeight="1">
      <x:c r="A309" s="22"/>
      <x:c r="B309" s="18"/>
      <x:c r="C309" s="18"/>
      <x:c r="D309" s="18"/>
      <x:c r="E309" s="18" t="str">
        <x:f>IF($C309="","",XLOOKUP($C309,Products!$A$5:$A$34,Products!$B$5:$B$34,""))</x:f>
      </x:c>
      <x:c r="F309" s="18" t="str">
        <x:f>IF($C309="","",XLOOKUP($C309,Products!$A$5:$A$34,Products!$C$5:$C$34,""))</x:f>
      </x:c>
      <x:c r="G309" s="19" t="str">
        <x:f>IF($C309="","",XLOOKUP($C309,Products!$A$5:$A$34,Products!$F$5:$F$34,""))</x:f>
      </x:c>
      <x:c r="H309" s="19" t="str">
        <x:f>IF($C309="","",XLOOKUP($C309,Products!$A$5:$A$34,Products!$E$5:$E$34,""))</x:f>
      </x:c>
      <x:c r="I309" s="19" t="str">
        <x:f>IF(OR($C309="",$D309=""),"",($D309*$G309))</x:f>
      </x:c>
      <x:c r="J309" s="18"/>
      <x:c r="K309" s="19" t="str">
        <x:f>IF(OR($C309="",$D309=""),"",$I309-($D309*$H309))</x:f>
      </x:c>
      <x:c r="L309" s="18"/>
      <x:c r="M309" s="18"/>
    </x:row>
    <x:row r="310" ht="15" hidden="0" customHeight="1">
      <x:c r="A310" s="22"/>
      <x:c r="B310" s="18"/>
      <x:c r="C310" s="18"/>
      <x:c r="D310" s="18"/>
      <x:c r="E310" s="18" t="str">
        <x:f>IF($C310="","",XLOOKUP($C310,Products!$A$5:$A$34,Products!$B$5:$B$34,""))</x:f>
      </x:c>
      <x:c r="F310" s="18" t="str">
        <x:f>IF($C310="","",XLOOKUP($C310,Products!$A$5:$A$34,Products!$C$5:$C$34,""))</x:f>
      </x:c>
      <x:c r="G310" s="19" t="str">
        <x:f>IF($C310="","",XLOOKUP($C310,Products!$A$5:$A$34,Products!$F$5:$F$34,""))</x:f>
      </x:c>
      <x:c r="H310" s="19" t="str">
        <x:f>IF($C310="","",XLOOKUP($C310,Products!$A$5:$A$34,Products!$E$5:$E$34,""))</x:f>
      </x:c>
      <x:c r="I310" s="19" t="str">
        <x:f>IF(OR($C310="",$D310=""),"",($D310*$G310))</x:f>
      </x:c>
      <x:c r="J310" s="18"/>
      <x:c r="K310" s="19" t="str">
        <x:f>IF(OR($C310="",$D310=""),"",$I310-($D310*$H310))</x:f>
      </x:c>
      <x:c r="L310" s="18"/>
      <x:c r="M310" s="18"/>
    </x:row>
    <x:row r="311" ht="15" hidden="0" customHeight="1">
      <x:c r="A311" s="22"/>
      <x:c r="B311" s="18"/>
      <x:c r="C311" s="18"/>
      <x:c r="D311" s="18"/>
      <x:c r="E311" s="18" t="str">
        <x:f>IF($C311="","",XLOOKUP($C311,Products!$A$5:$A$34,Products!$B$5:$B$34,""))</x:f>
      </x:c>
      <x:c r="F311" s="18" t="str">
        <x:f>IF($C311="","",XLOOKUP($C311,Products!$A$5:$A$34,Products!$C$5:$C$34,""))</x:f>
      </x:c>
      <x:c r="G311" s="19" t="str">
        <x:f>IF($C311="","",XLOOKUP($C311,Products!$A$5:$A$34,Products!$F$5:$F$34,""))</x:f>
      </x:c>
      <x:c r="H311" s="19" t="str">
        <x:f>IF($C311="","",XLOOKUP($C311,Products!$A$5:$A$34,Products!$E$5:$E$34,""))</x:f>
      </x:c>
      <x:c r="I311" s="19" t="str">
        <x:f>IF(OR($C311="",$D311=""),"",($D311*$G311))</x:f>
      </x:c>
      <x:c r="J311" s="18"/>
      <x:c r="K311" s="19" t="str">
        <x:f>IF(OR($C311="",$D311=""),"",$I311-($D311*$H311))</x:f>
      </x:c>
      <x:c r="L311" s="18"/>
      <x:c r="M311" s="18"/>
    </x:row>
    <x:row r="312" ht="15" hidden="0" customHeight="1">
      <x:c r="A312" s="22"/>
      <x:c r="B312" s="18"/>
      <x:c r="C312" s="18"/>
      <x:c r="D312" s="18"/>
      <x:c r="E312" s="18" t="str">
        <x:f>IF($C312="","",XLOOKUP($C312,Products!$A$5:$A$34,Products!$B$5:$B$34,""))</x:f>
      </x:c>
      <x:c r="F312" s="18" t="str">
        <x:f>IF($C312="","",XLOOKUP($C312,Products!$A$5:$A$34,Products!$C$5:$C$34,""))</x:f>
      </x:c>
      <x:c r="G312" s="19" t="str">
        <x:f>IF($C312="","",XLOOKUP($C312,Products!$A$5:$A$34,Products!$F$5:$F$34,""))</x:f>
      </x:c>
      <x:c r="H312" s="19" t="str">
        <x:f>IF($C312="","",XLOOKUP($C312,Products!$A$5:$A$34,Products!$E$5:$E$34,""))</x:f>
      </x:c>
      <x:c r="I312" s="19" t="str">
        <x:f>IF(OR($C312="",$D312=""),"",($D312*$G312))</x:f>
      </x:c>
      <x:c r="J312" s="18"/>
      <x:c r="K312" s="19" t="str">
        <x:f>IF(OR($C312="",$D312=""),"",$I312-($D312*$H312))</x:f>
      </x:c>
      <x:c r="L312" s="18"/>
      <x:c r="M312" s="18"/>
    </x:row>
    <x:row r="313" ht="15" hidden="0" customHeight="1">
      <x:c r="A313" s="22"/>
      <x:c r="B313" s="18"/>
      <x:c r="C313" s="18"/>
      <x:c r="D313" s="18"/>
      <x:c r="E313" s="18" t="str">
        <x:f>IF($C313="","",XLOOKUP($C313,Products!$A$5:$A$34,Products!$B$5:$B$34,""))</x:f>
      </x:c>
      <x:c r="F313" s="18" t="str">
        <x:f>IF($C313="","",XLOOKUP($C313,Products!$A$5:$A$34,Products!$C$5:$C$34,""))</x:f>
      </x:c>
      <x:c r="G313" s="19" t="str">
        <x:f>IF($C313="","",XLOOKUP($C313,Products!$A$5:$A$34,Products!$F$5:$F$34,""))</x:f>
      </x:c>
      <x:c r="H313" s="19" t="str">
        <x:f>IF($C313="","",XLOOKUP($C313,Products!$A$5:$A$34,Products!$E$5:$E$34,""))</x:f>
      </x:c>
      <x:c r="I313" s="19" t="str">
        <x:f>IF(OR($C313="",$D313=""),"",($D313*$G313))</x:f>
      </x:c>
      <x:c r="J313" s="18"/>
      <x:c r="K313" s="19" t="str">
        <x:f>IF(OR($C313="",$D313=""),"",$I313-($D313*$H313))</x:f>
      </x:c>
      <x:c r="L313" s="18"/>
      <x:c r="M313" s="18"/>
    </x:row>
    <x:row r="314" ht="15" hidden="0" customHeight="1">
      <x:c r="A314" s="22"/>
      <x:c r="B314" s="18"/>
      <x:c r="C314" s="18"/>
      <x:c r="D314" s="18"/>
      <x:c r="E314" s="18" t="str">
        <x:f>IF($C314="","",XLOOKUP($C314,Products!$A$5:$A$34,Products!$B$5:$B$34,""))</x:f>
      </x:c>
      <x:c r="F314" s="18" t="str">
        <x:f>IF($C314="","",XLOOKUP($C314,Products!$A$5:$A$34,Products!$C$5:$C$34,""))</x:f>
      </x:c>
      <x:c r="G314" s="19" t="str">
        <x:f>IF($C314="","",XLOOKUP($C314,Products!$A$5:$A$34,Products!$F$5:$F$34,""))</x:f>
      </x:c>
      <x:c r="H314" s="19" t="str">
        <x:f>IF($C314="","",XLOOKUP($C314,Products!$A$5:$A$34,Products!$E$5:$E$34,""))</x:f>
      </x:c>
      <x:c r="I314" s="19" t="str">
        <x:f>IF(OR($C314="",$D314=""),"",($D314*$G314))</x:f>
      </x:c>
      <x:c r="J314" s="18"/>
      <x:c r="K314" s="19" t="str">
        <x:f>IF(OR($C314="",$D314=""),"",$I314-($D314*$H314))</x:f>
      </x:c>
      <x:c r="L314" s="18"/>
      <x:c r="M314" s="18"/>
    </x:row>
    <x:row r="315" ht="15" hidden="0" customHeight="1">
      <x:c r="A315" s="22"/>
      <x:c r="B315" s="18"/>
      <x:c r="C315" s="18"/>
      <x:c r="D315" s="18"/>
      <x:c r="E315" s="18" t="str">
        <x:f>IF($C315="","",XLOOKUP($C315,Products!$A$5:$A$34,Products!$B$5:$B$34,""))</x:f>
      </x:c>
      <x:c r="F315" s="18" t="str">
        <x:f>IF($C315="","",XLOOKUP($C315,Products!$A$5:$A$34,Products!$C$5:$C$34,""))</x:f>
      </x:c>
      <x:c r="G315" s="19" t="str">
        <x:f>IF($C315="","",XLOOKUP($C315,Products!$A$5:$A$34,Products!$F$5:$F$34,""))</x:f>
      </x:c>
      <x:c r="H315" s="19" t="str">
        <x:f>IF($C315="","",XLOOKUP($C315,Products!$A$5:$A$34,Products!$E$5:$E$34,""))</x:f>
      </x:c>
      <x:c r="I315" s="19" t="str">
        <x:f>IF(OR($C315="",$D315=""),"",($D315*$G315))</x:f>
      </x:c>
      <x:c r="J315" s="18"/>
      <x:c r="K315" s="19" t="str">
        <x:f>IF(OR($C315="",$D315=""),"",$I315-($D315*$H315))</x:f>
      </x:c>
      <x:c r="L315" s="18"/>
      <x:c r="M315" s="18"/>
    </x:row>
    <x:row r="316" ht="15" hidden="0" customHeight="1">
      <x:c r="A316" s="22"/>
      <x:c r="B316" s="18"/>
      <x:c r="C316" s="18"/>
      <x:c r="D316" s="18"/>
      <x:c r="E316" s="18" t="str">
        <x:f>IF($C316="","",XLOOKUP($C316,Products!$A$5:$A$34,Products!$B$5:$B$34,""))</x:f>
      </x:c>
      <x:c r="F316" s="18" t="str">
        <x:f>IF($C316="","",XLOOKUP($C316,Products!$A$5:$A$34,Products!$C$5:$C$34,""))</x:f>
      </x:c>
      <x:c r="G316" s="19" t="str">
        <x:f>IF($C316="","",XLOOKUP($C316,Products!$A$5:$A$34,Products!$F$5:$F$34,""))</x:f>
      </x:c>
      <x:c r="H316" s="19" t="str">
        <x:f>IF($C316="","",XLOOKUP($C316,Products!$A$5:$A$34,Products!$E$5:$E$34,""))</x:f>
      </x:c>
      <x:c r="I316" s="19" t="str">
        <x:f>IF(OR($C316="",$D316=""),"",($D316*$G316))</x:f>
      </x:c>
      <x:c r="J316" s="18"/>
      <x:c r="K316" s="19" t="str">
        <x:f>IF(OR($C316="",$D316=""),"",$I316-($D316*$H316))</x:f>
      </x:c>
      <x:c r="L316" s="18"/>
      <x:c r="M316" s="18"/>
    </x:row>
    <x:row r="317" ht="15" hidden="0" customHeight="1">
      <x:c r="A317" s="22"/>
      <x:c r="B317" s="18"/>
      <x:c r="C317" s="18"/>
      <x:c r="D317" s="18"/>
      <x:c r="E317" s="18" t="str">
        <x:f>IF($C317="","",XLOOKUP($C317,Products!$A$5:$A$34,Products!$B$5:$B$34,""))</x:f>
      </x:c>
      <x:c r="F317" s="18" t="str">
        <x:f>IF($C317="","",XLOOKUP($C317,Products!$A$5:$A$34,Products!$C$5:$C$34,""))</x:f>
      </x:c>
      <x:c r="G317" s="19" t="str">
        <x:f>IF($C317="","",XLOOKUP($C317,Products!$A$5:$A$34,Products!$F$5:$F$34,""))</x:f>
      </x:c>
      <x:c r="H317" s="19" t="str">
        <x:f>IF($C317="","",XLOOKUP($C317,Products!$A$5:$A$34,Products!$E$5:$E$34,""))</x:f>
      </x:c>
      <x:c r="I317" s="19" t="str">
        <x:f>IF(OR($C317="",$D317=""),"",($D317*$G317))</x:f>
      </x:c>
      <x:c r="J317" s="18"/>
      <x:c r="K317" s="19" t="str">
        <x:f>IF(OR($C317="",$D317=""),"",$I317-($D317*$H317))</x:f>
      </x:c>
      <x:c r="L317" s="18"/>
      <x:c r="M317" s="18"/>
    </x:row>
    <x:row r="318" ht="15" hidden="0" customHeight="1">
      <x:c r="A318" s="22"/>
      <x:c r="B318" s="18"/>
      <x:c r="C318" s="18"/>
      <x:c r="D318" s="18"/>
      <x:c r="E318" s="18" t="str">
        <x:f>IF($C318="","",XLOOKUP($C318,Products!$A$5:$A$34,Products!$B$5:$B$34,""))</x:f>
      </x:c>
      <x:c r="F318" s="18" t="str">
        <x:f>IF($C318="","",XLOOKUP($C318,Products!$A$5:$A$34,Products!$C$5:$C$34,""))</x:f>
      </x:c>
      <x:c r="G318" s="19" t="str">
        <x:f>IF($C318="","",XLOOKUP($C318,Products!$A$5:$A$34,Products!$F$5:$F$34,""))</x:f>
      </x:c>
      <x:c r="H318" s="19" t="str">
        <x:f>IF($C318="","",XLOOKUP($C318,Products!$A$5:$A$34,Products!$E$5:$E$34,""))</x:f>
      </x:c>
      <x:c r="I318" s="19" t="str">
        <x:f>IF(OR($C318="",$D318=""),"",($D318*$G318))</x:f>
      </x:c>
      <x:c r="J318" s="18"/>
      <x:c r="K318" s="19" t="str">
        <x:f>IF(OR($C318="",$D318=""),"",$I318-($D318*$H318))</x:f>
      </x:c>
      <x:c r="L318" s="18"/>
      <x:c r="M318" s="18"/>
    </x:row>
    <x:row r="319" ht="15" hidden="0" customHeight="1">
      <x:c r="A319" s="22"/>
      <x:c r="B319" s="18"/>
      <x:c r="C319" s="18"/>
      <x:c r="D319" s="18"/>
      <x:c r="E319" s="18" t="str">
        <x:f>IF($C319="","",XLOOKUP($C319,Products!$A$5:$A$34,Products!$B$5:$B$34,""))</x:f>
      </x:c>
      <x:c r="F319" s="18" t="str">
        <x:f>IF($C319="","",XLOOKUP($C319,Products!$A$5:$A$34,Products!$C$5:$C$34,""))</x:f>
      </x:c>
      <x:c r="G319" s="19" t="str">
        <x:f>IF($C319="","",XLOOKUP($C319,Products!$A$5:$A$34,Products!$F$5:$F$34,""))</x:f>
      </x:c>
      <x:c r="H319" s="19" t="str">
        <x:f>IF($C319="","",XLOOKUP($C319,Products!$A$5:$A$34,Products!$E$5:$E$34,""))</x:f>
      </x:c>
      <x:c r="I319" s="19" t="str">
        <x:f>IF(OR($C319="",$D319=""),"",($D319*$G319))</x:f>
      </x:c>
      <x:c r="J319" s="18"/>
      <x:c r="K319" s="19" t="str">
        <x:f>IF(OR($C319="",$D319=""),"",$I319-($D319*$H319))</x:f>
      </x:c>
      <x:c r="L319" s="18"/>
      <x:c r="M319" s="18"/>
    </x:row>
    <x:row r="320" ht="15" hidden="0" customHeight="1">
      <x:c r="A320" s="22"/>
      <x:c r="B320" s="18"/>
      <x:c r="C320" s="18"/>
      <x:c r="D320" s="18"/>
      <x:c r="E320" s="18" t="str">
        <x:f>IF($C320="","",XLOOKUP($C320,Products!$A$5:$A$34,Products!$B$5:$B$34,""))</x:f>
      </x:c>
      <x:c r="F320" s="18" t="str">
        <x:f>IF($C320="","",XLOOKUP($C320,Products!$A$5:$A$34,Products!$C$5:$C$34,""))</x:f>
      </x:c>
      <x:c r="G320" s="19" t="str">
        <x:f>IF($C320="","",XLOOKUP($C320,Products!$A$5:$A$34,Products!$F$5:$F$34,""))</x:f>
      </x:c>
      <x:c r="H320" s="19" t="str">
        <x:f>IF($C320="","",XLOOKUP($C320,Products!$A$5:$A$34,Products!$E$5:$E$34,""))</x:f>
      </x:c>
      <x:c r="I320" s="19" t="str">
        <x:f>IF(OR($C320="",$D320=""),"",($D320*$G320))</x:f>
      </x:c>
      <x:c r="J320" s="18"/>
      <x:c r="K320" s="19" t="str">
        <x:f>IF(OR($C320="",$D320=""),"",$I320-($D320*$H320))</x:f>
      </x:c>
      <x:c r="L320" s="18"/>
      <x:c r="M320" s="18"/>
    </x:row>
    <x:row r="321" ht="15" hidden="0" customHeight="1">
      <x:c r="A321" s="22"/>
      <x:c r="B321" s="18"/>
      <x:c r="C321" s="18"/>
      <x:c r="D321" s="18"/>
      <x:c r="E321" s="18" t="str">
        <x:f>IF($C321="","",XLOOKUP($C321,Products!$A$5:$A$34,Products!$B$5:$B$34,""))</x:f>
      </x:c>
      <x:c r="F321" s="18" t="str">
        <x:f>IF($C321="","",XLOOKUP($C321,Products!$A$5:$A$34,Products!$C$5:$C$34,""))</x:f>
      </x:c>
      <x:c r="G321" s="19" t="str">
        <x:f>IF($C321="","",XLOOKUP($C321,Products!$A$5:$A$34,Products!$F$5:$F$34,""))</x:f>
      </x:c>
      <x:c r="H321" s="19" t="str">
        <x:f>IF($C321="","",XLOOKUP($C321,Products!$A$5:$A$34,Products!$E$5:$E$34,""))</x:f>
      </x:c>
      <x:c r="I321" s="19" t="str">
        <x:f>IF(OR($C321="",$D321=""),"",($D321*$G321))</x:f>
      </x:c>
      <x:c r="J321" s="18"/>
      <x:c r="K321" s="19" t="str">
        <x:f>IF(OR($C321="",$D321=""),"",$I321-($D321*$H321))</x:f>
      </x:c>
      <x:c r="L321" s="18"/>
      <x:c r="M321" s="18"/>
    </x:row>
    <x:row r="322" ht="15" hidden="0" customHeight="1">
      <x:c r="A322" s="22"/>
      <x:c r="B322" s="18"/>
      <x:c r="C322" s="18"/>
      <x:c r="D322" s="18"/>
      <x:c r="E322" s="18" t="str">
        <x:f>IF($C322="","",XLOOKUP($C322,Products!$A$5:$A$34,Products!$B$5:$B$34,""))</x:f>
      </x:c>
      <x:c r="F322" s="18" t="str">
        <x:f>IF($C322="","",XLOOKUP($C322,Products!$A$5:$A$34,Products!$C$5:$C$34,""))</x:f>
      </x:c>
      <x:c r="G322" s="19" t="str">
        <x:f>IF($C322="","",XLOOKUP($C322,Products!$A$5:$A$34,Products!$F$5:$F$34,""))</x:f>
      </x:c>
      <x:c r="H322" s="19" t="str">
        <x:f>IF($C322="","",XLOOKUP($C322,Products!$A$5:$A$34,Products!$E$5:$E$34,""))</x:f>
      </x:c>
      <x:c r="I322" s="19" t="str">
        <x:f>IF(OR($C322="",$D322=""),"",($D322*$G322))</x:f>
      </x:c>
      <x:c r="J322" s="18"/>
      <x:c r="K322" s="19" t="str">
        <x:f>IF(OR($C322="",$D322=""),"",$I322-($D322*$H322))</x:f>
      </x:c>
      <x:c r="L322" s="18"/>
      <x:c r="M322" s="18"/>
    </x:row>
    <x:row r="323" ht="15" hidden="0" customHeight="1">
      <x:c r="A323" s="22"/>
      <x:c r="B323" s="18"/>
      <x:c r="C323" s="18"/>
      <x:c r="D323" s="18"/>
      <x:c r="E323" s="18" t="str">
        <x:f>IF($C323="","",XLOOKUP($C323,Products!$A$5:$A$34,Products!$B$5:$B$34,""))</x:f>
      </x:c>
      <x:c r="F323" s="18" t="str">
        <x:f>IF($C323="","",XLOOKUP($C323,Products!$A$5:$A$34,Products!$C$5:$C$34,""))</x:f>
      </x:c>
      <x:c r="G323" s="19" t="str">
        <x:f>IF($C323="","",XLOOKUP($C323,Products!$A$5:$A$34,Products!$F$5:$F$34,""))</x:f>
      </x:c>
      <x:c r="H323" s="19" t="str">
        <x:f>IF($C323="","",XLOOKUP($C323,Products!$A$5:$A$34,Products!$E$5:$E$34,""))</x:f>
      </x:c>
      <x:c r="I323" s="19" t="str">
        <x:f>IF(OR($C323="",$D323=""),"",($D323*$G323))</x:f>
      </x:c>
      <x:c r="J323" s="18"/>
      <x:c r="K323" s="19" t="str">
        <x:f>IF(OR($C323="",$D323=""),"",$I323-($D323*$H323))</x:f>
      </x:c>
      <x:c r="L323" s="18"/>
      <x:c r="M323" s="18"/>
    </x:row>
    <x:row r="324" ht="15" hidden="0" customHeight="1">
      <x:c r="A324" s="22"/>
      <x:c r="B324" s="18"/>
      <x:c r="C324" s="18"/>
      <x:c r="D324" s="18"/>
      <x:c r="E324" s="18" t="str">
        <x:f>IF($C324="","",XLOOKUP($C324,Products!$A$5:$A$34,Products!$B$5:$B$34,""))</x:f>
      </x:c>
      <x:c r="F324" s="18" t="str">
        <x:f>IF($C324="","",XLOOKUP($C324,Products!$A$5:$A$34,Products!$C$5:$C$34,""))</x:f>
      </x:c>
      <x:c r="G324" s="19" t="str">
        <x:f>IF($C324="","",XLOOKUP($C324,Products!$A$5:$A$34,Products!$F$5:$F$34,""))</x:f>
      </x:c>
      <x:c r="H324" s="19" t="str">
        <x:f>IF($C324="","",XLOOKUP($C324,Products!$A$5:$A$34,Products!$E$5:$E$34,""))</x:f>
      </x:c>
      <x:c r="I324" s="19" t="str">
        <x:f>IF(OR($C324="",$D324=""),"",($D324*$G324))</x:f>
      </x:c>
      <x:c r="J324" s="18"/>
      <x:c r="K324" s="19" t="str">
        <x:f>IF(OR($C324="",$D324=""),"",$I324-($D324*$H324))</x:f>
      </x:c>
      <x:c r="L324" s="18"/>
      <x:c r="M324" s="18"/>
    </x:row>
    <x:row r="325" ht="15" hidden="0" customHeight="1">
      <x:c r="A325" s="22"/>
      <x:c r="B325" s="18"/>
      <x:c r="C325" s="18"/>
      <x:c r="D325" s="18"/>
      <x:c r="E325" s="18" t="str">
        <x:f>IF($C325="","",XLOOKUP($C325,Products!$A$5:$A$34,Products!$B$5:$B$34,""))</x:f>
      </x:c>
      <x:c r="F325" s="18" t="str">
        <x:f>IF($C325="","",XLOOKUP($C325,Products!$A$5:$A$34,Products!$C$5:$C$34,""))</x:f>
      </x:c>
      <x:c r="G325" s="19" t="str">
        <x:f>IF($C325="","",XLOOKUP($C325,Products!$A$5:$A$34,Products!$F$5:$F$34,""))</x:f>
      </x:c>
      <x:c r="H325" s="19" t="str">
        <x:f>IF($C325="","",XLOOKUP($C325,Products!$A$5:$A$34,Products!$E$5:$E$34,""))</x:f>
      </x:c>
      <x:c r="I325" s="19" t="str">
        <x:f>IF(OR($C325="",$D325=""),"",($D325*$G325))</x:f>
      </x:c>
      <x:c r="J325" s="18"/>
      <x:c r="K325" s="19" t="str">
        <x:f>IF(OR($C325="",$D325=""),"",$I325-($D325*$H325))</x:f>
      </x:c>
      <x:c r="L325" s="18"/>
      <x:c r="M325" s="18"/>
    </x:row>
    <x:row r="326" ht="15" hidden="0" customHeight="1">
      <x:c r="A326" s="22"/>
      <x:c r="B326" s="18"/>
      <x:c r="C326" s="18"/>
      <x:c r="D326" s="18"/>
      <x:c r="E326" s="18" t="str">
        <x:f>IF($C326="","",XLOOKUP($C326,Products!$A$5:$A$34,Products!$B$5:$B$34,""))</x:f>
      </x:c>
      <x:c r="F326" s="18" t="str">
        <x:f>IF($C326="","",XLOOKUP($C326,Products!$A$5:$A$34,Products!$C$5:$C$34,""))</x:f>
      </x:c>
      <x:c r="G326" s="19" t="str">
        <x:f>IF($C326="","",XLOOKUP($C326,Products!$A$5:$A$34,Products!$F$5:$F$34,""))</x:f>
      </x:c>
      <x:c r="H326" s="19" t="str">
        <x:f>IF($C326="","",XLOOKUP($C326,Products!$A$5:$A$34,Products!$E$5:$E$34,""))</x:f>
      </x:c>
      <x:c r="I326" s="19" t="str">
        <x:f>IF(OR($C326="",$D326=""),"",($D326*$G326))</x:f>
      </x:c>
      <x:c r="J326" s="18"/>
      <x:c r="K326" s="19" t="str">
        <x:f>IF(OR($C326="",$D326=""),"",$I326-($D326*$H326))</x:f>
      </x:c>
      <x:c r="L326" s="18"/>
      <x:c r="M326" s="18"/>
    </x:row>
    <x:row r="327" ht="15" hidden="0" customHeight="1">
      <x:c r="A327" s="22"/>
      <x:c r="B327" s="18"/>
      <x:c r="C327" s="18"/>
      <x:c r="D327" s="18"/>
      <x:c r="E327" s="18" t="str">
        <x:f>IF($C327="","",XLOOKUP($C327,Products!$A$5:$A$34,Products!$B$5:$B$34,""))</x:f>
      </x:c>
      <x:c r="F327" s="18" t="str">
        <x:f>IF($C327="","",XLOOKUP($C327,Products!$A$5:$A$34,Products!$C$5:$C$34,""))</x:f>
      </x:c>
      <x:c r="G327" s="19" t="str">
        <x:f>IF($C327="","",XLOOKUP($C327,Products!$A$5:$A$34,Products!$F$5:$F$34,""))</x:f>
      </x:c>
      <x:c r="H327" s="19" t="str">
        <x:f>IF($C327="","",XLOOKUP($C327,Products!$A$5:$A$34,Products!$E$5:$E$34,""))</x:f>
      </x:c>
      <x:c r="I327" s="19" t="str">
        <x:f>IF(OR($C327="",$D327=""),"",($D327*$G327))</x:f>
      </x:c>
      <x:c r="J327" s="18"/>
      <x:c r="K327" s="19" t="str">
        <x:f>IF(OR($C327="",$D327=""),"",$I327-($D327*$H327))</x:f>
      </x:c>
      <x:c r="L327" s="18"/>
      <x:c r="M327" s="18"/>
    </x:row>
    <x:row r="328" ht="15" hidden="0" customHeight="1">
      <x:c r="A328" s="22"/>
      <x:c r="B328" s="18"/>
      <x:c r="C328" s="18"/>
      <x:c r="D328" s="18"/>
      <x:c r="E328" s="18" t="str">
        <x:f>IF($C328="","",XLOOKUP($C328,Products!$A$5:$A$34,Products!$B$5:$B$34,""))</x:f>
      </x:c>
      <x:c r="F328" s="18" t="str">
        <x:f>IF($C328="","",XLOOKUP($C328,Products!$A$5:$A$34,Products!$C$5:$C$34,""))</x:f>
      </x:c>
      <x:c r="G328" s="19" t="str">
        <x:f>IF($C328="","",XLOOKUP($C328,Products!$A$5:$A$34,Products!$F$5:$F$34,""))</x:f>
      </x:c>
      <x:c r="H328" s="19" t="str">
        <x:f>IF($C328="","",XLOOKUP($C328,Products!$A$5:$A$34,Products!$E$5:$E$34,""))</x:f>
      </x:c>
      <x:c r="I328" s="19" t="str">
        <x:f>IF(OR($C328="",$D328=""),"",($D328*$G328))</x:f>
      </x:c>
      <x:c r="J328" s="18"/>
      <x:c r="K328" s="19" t="str">
        <x:f>IF(OR($C328="",$D328=""),"",$I328-($D328*$H328))</x:f>
      </x:c>
      <x:c r="L328" s="18"/>
      <x:c r="M328" s="18"/>
    </x:row>
    <x:row r="329" ht="15" hidden="0" customHeight="1">
      <x:c r="A329" s="22"/>
      <x:c r="B329" s="18"/>
      <x:c r="C329" s="18"/>
      <x:c r="D329" s="18"/>
      <x:c r="E329" s="18" t="str">
        <x:f>IF($C329="","",XLOOKUP($C329,Products!$A$5:$A$34,Products!$B$5:$B$34,""))</x:f>
      </x:c>
      <x:c r="F329" s="18" t="str">
        <x:f>IF($C329="","",XLOOKUP($C329,Products!$A$5:$A$34,Products!$C$5:$C$34,""))</x:f>
      </x:c>
      <x:c r="G329" s="19" t="str">
        <x:f>IF($C329="","",XLOOKUP($C329,Products!$A$5:$A$34,Products!$F$5:$F$34,""))</x:f>
      </x:c>
      <x:c r="H329" s="19" t="str">
        <x:f>IF($C329="","",XLOOKUP($C329,Products!$A$5:$A$34,Products!$E$5:$E$34,""))</x:f>
      </x:c>
      <x:c r="I329" s="19" t="str">
        <x:f>IF(OR($C329="",$D329=""),"",($D329*$G329))</x:f>
      </x:c>
      <x:c r="J329" s="18"/>
      <x:c r="K329" s="19" t="str">
        <x:f>IF(OR($C329="",$D329=""),"",$I329-($D329*$H329))</x:f>
      </x:c>
      <x:c r="L329" s="18"/>
      <x:c r="M329" s="18"/>
    </x:row>
    <x:row r="330" ht="15" hidden="0" customHeight="1">
      <x:c r="A330" s="22"/>
      <x:c r="B330" s="18"/>
      <x:c r="C330" s="18"/>
      <x:c r="D330" s="18"/>
      <x:c r="E330" s="18" t="str">
        <x:f>IF($C330="","",XLOOKUP($C330,Products!$A$5:$A$34,Products!$B$5:$B$34,""))</x:f>
      </x:c>
      <x:c r="F330" s="18" t="str">
        <x:f>IF($C330="","",XLOOKUP($C330,Products!$A$5:$A$34,Products!$C$5:$C$34,""))</x:f>
      </x:c>
      <x:c r="G330" s="19" t="str">
        <x:f>IF($C330="","",XLOOKUP($C330,Products!$A$5:$A$34,Products!$F$5:$F$34,""))</x:f>
      </x:c>
      <x:c r="H330" s="19" t="str">
        <x:f>IF($C330="","",XLOOKUP($C330,Products!$A$5:$A$34,Products!$E$5:$E$34,""))</x:f>
      </x:c>
      <x:c r="I330" s="19" t="str">
        <x:f>IF(OR($C330="",$D330=""),"",($D330*$G330))</x:f>
      </x:c>
      <x:c r="J330" s="18"/>
      <x:c r="K330" s="19" t="str">
        <x:f>IF(OR($C330="",$D330=""),"",$I330-($D330*$H330))</x:f>
      </x:c>
      <x:c r="L330" s="18"/>
      <x:c r="M330" s="18"/>
    </x:row>
    <x:row r="331" ht="15" hidden="0" customHeight="1">
      <x:c r="A331" s="22"/>
      <x:c r="B331" s="18"/>
      <x:c r="C331" s="18"/>
      <x:c r="D331" s="18"/>
      <x:c r="E331" s="18" t="str">
        <x:f>IF($C331="","",XLOOKUP($C331,Products!$A$5:$A$34,Products!$B$5:$B$34,""))</x:f>
      </x:c>
      <x:c r="F331" s="18" t="str">
        <x:f>IF($C331="","",XLOOKUP($C331,Products!$A$5:$A$34,Products!$C$5:$C$34,""))</x:f>
      </x:c>
      <x:c r="G331" s="19" t="str">
        <x:f>IF($C331="","",XLOOKUP($C331,Products!$A$5:$A$34,Products!$F$5:$F$34,""))</x:f>
      </x:c>
      <x:c r="H331" s="19" t="str">
        <x:f>IF($C331="","",XLOOKUP($C331,Products!$A$5:$A$34,Products!$E$5:$E$34,""))</x:f>
      </x:c>
      <x:c r="I331" s="19" t="str">
        <x:f>IF(OR($C331="",$D331=""),"",($D331*$G331))</x:f>
      </x:c>
      <x:c r="J331" s="18"/>
      <x:c r="K331" s="19" t="str">
        <x:f>IF(OR($C331="",$D331=""),"",$I331-($D331*$H331))</x:f>
      </x:c>
      <x:c r="L331" s="18"/>
      <x:c r="M331" s="18"/>
    </x:row>
    <x:row r="332" ht="15" hidden="0" customHeight="1">
      <x:c r="A332" s="22"/>
      <x:c r="B332" s="18"/>
      <x:c r="C332" s="18"/>
      <x:c r="D332" s="18"/>
      <x:c r="E332" s="18" t="str">
        <x:f>IF($C332="","",XLOOKUP($C332,Products!$A$5:$A$34,Products!$B$5:$B$34,""))</x:f>
      </x:c>
      <x:c r="F332" s="18" t="str">
        <x:f>IF($C332="","",XLOOKUP($C332,Products!$A$5:$A$34,Products!$C$5:$C$34,""))</x:f>
      </x:c>
      <x:c r="G332" s="19" t="str">
        <x:f>IF($C332="","",XLOOKUP($C332,Products!$A$5:$A$34,Products!$F$5:$F$34,""))</x:f>
      </x:c>
      <x:c r="H332" s="19" t="str">
        <x:f>IF($C332="","",XLOOKUP($C332,Products!$A$5:$A$34,Products!$E$5:$E$34,""))</x:f>
      </x:c>
      <x:c r="I332" s="19" t="str">
        <x:f>IF(OR($C332="",$D332=""),"",($D332*$G332))</x:f>
      </x:c>
      <x:c r="J332" s="18"/>
      <x:c r="K332" s="19" t="str">
        <x:f>IF(OR($C332="",$D332=""),"",$I332-($D332*$H332))</x:f>
      </x:c>
      <x:c r="L332" s="18"/>
      <x:c r="M332" s="18"/>
    </x:row>
    <x:row r="333" ht="15" hidden="0" customHeight="1">
      <x:c r="A333" s="22"/>
      <x:c r="B333" s="18"/>
      <x:c r="C333" s="18"/>
      <x:c r="D333" s="18"/>
      <x:c r="E333" s="18" t="str">
        <x:f>IF($C333="","",XLOOKUP($C333,Products!$A$5:$A$34,Products!$B$5:$B$34,""))</x:f>
      </x:c>
      <x:c r="F333" s="18" t="str">
        <x:f>IF($C333="","",XLOOKUP($C333,Products!$A$5:$A$34,Products!$C$5:$C$34,""))</x:f>
      </x:c>
      <x:c r="G333" s="19" t="str">
        <x:f>IF($C333="","",XLOOKUP($C333,Products!$A$5:$A$34,Products!$F$5:$F$34,""))</x:f>
      </x:c>
      <x:c r="H333" s="19" t="str">
        <x:f>IF($C333="","",XLOOKUP($C333,Products!$A$5:$A$34,Products!$E$5:$E$34,""))</x:f>
      </x:c>
      <x:c r="I333" s="19" t="str">
        <x:f>IF(OR($C333="",$D333=""),"",($D333*$G333))</x:f>
      </x:c>
      <x:c r="J333" s="18"/>
      <x:c r="K333" s="19" t="str">
        <x:f>IF(OR($C333="",$D333=""),"",$I333-($D333*$H333))</x:f>
      </x:c>
      <x:c r="L333" s="18"/>
      <x:c r="M333" s="18"/>
    </x:row>
    <x:row r="334" ht="15" hidden="0" customHeight="1">
      <x:c r="A334" s="22"/>
      <x:c r="B334" s="18"/>
      <x:c r="C334" s="18"/>
      <x:c r="D334" s="18"/>
      <x:c r="E334" s="18" t="str">
        <x:f>IF($C334="","",XLOOKUP($C334,Products!$A$5:$A$34,Products!$B$5:$B$34,""))</x:f>
      </x:c>
      <x:c r="F334" s="18" t="str">
        <x:f>IF($C334="","",XLOOKUP($C334,Products!$A$5:$A$34,Products!$C$5:$C$34,""))</x:f>
      </x:c>
      <x:c r="G334" s="19" t="str">
        <x:f>IF($C334="","",XLOOKUP($C334,Products!$A$5:$A$34,Products!$F$5:$F$34,""))</x:f>
      </x:c>
      <x:c r="H334" s="19" t="str">
        <x:f>IF($C334="","",XLOOKUP($C334,Products!$A$5:$A$34,Products!$E$5:$E$34,""))</x:f>
      </x:c>
      <x:c r="I334" s="19" t="str">
        <x:f>IF(OR($C334="",$D334=""),"",($D334*$G334))</x:f>
      </x:c>
      <x:c r="J334" s="18"/>
      <x:c r="K334" s="19" t="str">
        <x:f>IF(OR($C334="",$D334=""),"",$I334-($D334*$H334))</x:f>
      </x:c>
      <x:c r="L334" s="18"/>
      <x:c r="M334" s="18"/>
    </x:row>
    <x:row r="335" ht="15" hidden="0" customHeight="1">
      <x:c r="A335" s="22"/>
      <x:c r="B335" s="18"/>
      <x:c r="C335" s="18"/>
      <x:c r="D335" s="18"/>
      <x:c r="E335" s="18" t="str">
        <x:f>IF($C335="","",XLOOKUP($C335,Products!$A$5:$A$34,Products!$B$5:$B$34,""))</x:f>
      </x:c>
      <x:c r="F335" s="18" t="str">
        <x:f>IF($C335="","",XLOOKUP($C335,Products!$A$5:$A$34,Products!$C$5:$C$34,""))</x:f>
      </x:c>
      <x:c r="G335" s="19" t="str">
        <x:f>IF($C335="","",XLOOKUP($C335,Products!$A$5:$A$34,Products!$F$5:$F$34,""))</x:f>
      </x:c>
      <x:c r="H335" s="19" t="str">
        <x:f>IF($C335="","",XLOOKUP($C335,Products!$A$5:$A$34,Products!$E$5:$E$34,""))</x:f>
      </x:c>
      <x:c r="I335" s="19" t="str">
        <x:f>IF(OR($C335="",$D335=""),"",($D335*$G335))</x:f>
      </x:c>
      <x:c r="J335" s="18"/>
      <x:c r="K335" s="19" t="str">
        <x:f>IF(OR($C335="",$D335=""),"",$I335-($D335*$H335))</x:f>
      </x:c>
      <x:c r="L335" s="18"/>
      <x:c r="M335" s="18"/>
    </x:row>
    <x:row r="336" ht="15" hidden="0" customHeight="1">
      <x:c r="A336" s="22"/>
      <x:c r="B336" s="18"/>
      <x:c r="C336" s="18"/>
      <x:c r="D336" s="18"/>
      <x:c r="E336" s="18" t="str">
        <x:f>IF($C336="","",XLOOKUP($C336,Products!$A$5:$A$34,Products!$B$5:$B$34,""))</x:f>
      </x:c>
      <x:c r="F336" s="18" t="str">
        <x:f>IF($C336="","",XLOOKUP($C336,Products!$A$5:$A$34,Products!$C$5:$C$34,""))</x:f>
      </x:c>
      <x:c r="G336" s="19" t="str">
        <x:f>IF($C336="","",XLOOKUP($C336,Products!$A$5:$A$34,Products!$F$5:$F$34,""))</x:f>
      </x:c>
      <x:c r="H336" s="19" t="str">
        <x:f>IF($C336="","",XLOOKUP($C336,Products!$A$5:$A$34,Products!$E$5:$E$34,""))</x:f>
      </x:c>
      <x:c r="I336" s="19" t="str">
        <x:f>IF(OR($C336="",$D336=""),"",($D336*$G336))</x:f>
      </x:c>
      <x:c r="J336" s="18"/>
      <x:c r="K336" s="19" t="str">
        <x:f>IF(OR($C336="",$D336=""),"",$I336-($D336*$H336))</x:f>
      </x:c>
      <x:c r="L336" s="18"/>
      <x:c r="M336" s="18"/>
    </x:row>
    <x:row r="337" ht="15" hidden="0" customHeight="1">
      <x:c r="A337" s="22"/>
      <x:c r="B337" s="18"/>
      <x:c r="C337" s="18"/>
      <x:c r="D337" s="18"/>
      <x:c r="E337" s="18" t="str">
        <x:f>IF($C337="","",XLOOKUP($C337,Products!$A$5:$A$34,Products!$B$5:$B$34,""))</x:f>
      </x:c>
      <x:c r="F337" s="18" t="str">
        <x:f>IF($C337="","",XLOOKUP($C337,Products!$A$5:$A$34,Products!$C$5:$C$34,""))</x:f>
      </x:c>
      <x:c r="G337" s="19" t="str">
        <x:f>IF($C337="","",XLOOKUP($C337,Products!$A$5:$A$34,Products!$F$5:$F$34,""))</x:f>
      </x:c>
      <x:c r="H337" s="19" t="str">
        <x:f>IF($C337="","",XLOOKUP($C337,Products!$A$5:$A$34,Products!$E$5:$E$34,""))</x:f>
      </x:c>
      <x:c r="I337" s="19" t="str">
        <x:f>IF(OR($C337="",$D337=""),"",($D337*$G337))</x:f>
      </x:c>
      <x:c r="J337" s="18"/>
      <x:c r="K337" s="19" t="str">
        <x:f>IF(OR($C337="",$D337=""),"",$I337-($D337*$H337))</x:f>
      </x:c>
      <x:c r="L337" s="18"/>
      <x:c r="M337" s="18"/>
    </x:row>
    <x:row r="338" ht="15" hidden="0" customHeight="1">
      <x:c r="A338" s="22"/>
      <x:c r="B338" s="18"/>
      <x:c r="C338" s="18"/>
      <x:c r="D338" s="18"/>
      <x:c r="E338" s="18" t="str">
        <x:f>IF($C338="","",XLOOKUP($C338,Products!$A$5:$A$34,Products!$B$5:$B$34,""))</x:f>
      </x:c>
      <x:c r="F338" s="18" t="str">
        <x:f>IF($C338="","",XLOOKUP($C338,Products!$A$5:$A$34,Products!$C$5:$C$34,""))</x:f>
      </x:c>
      <x:c r="G338" s="19" t="str">
        <x:f>IF($C338="","",XLOOKUP($C338,Products!$A$5:$A$34,Products!$F$5:$F$34,""))</x:f>
      </x:c>
      <x:c r="H338" s="19" t="str">
        <x:f>IF($C338="","",XLOOKUP($C338,Products!$A$5:$A$34,Products!$E$5:$E$34,""))</x:f>
      </x:c>
      <x:c r="I338" s="19" t="str">
        <x:f>IF(OR($C338="",$D338=""),"",($D338*$G338))</x:f>
      </x:c>
      <x:c r="J338" s="18"/>
      <x:c r="K338" s="19" t="str">
        <x:f>IF(OR($C338="",$D338=""),"",$I338-($D338*$H338))</x:f>
      </x:c>
      <x:c r="L338" s="18"/>
      <x:c r="M338" s="18"/>
    </x:row>
    <x:row r="339" ht="15" hidden="0" customHeight="1">
      <x:c r="A339" s="22"/>
      <x:c r="B339" s="18"/>
      <x:c r="C339" s="18"/>
      <x:c r="D339" s="18"/>
      <x:c r="E339" s="18" t="str">
        <x:f>IF($C339="","",XLOOKUP($C339,Products!$A$5:$A$34,Products!$B$5:$B$34,""))</x:f>
      </x:c>
      <x:c r="F339" s="18" t="str">
        <x:f>IF($C339="","",XLOOKUP($C339,Products!$A$5:$A$34,Products!$C$5:$C$34,""))</x:f>
      </x:c>
      <x:c r="G339" s="19" t="str">
        <x:f>IF($C339="","",XLOOKUP($C339,Products!$A$5:$A$34,Products!$F$5:$F$34,""))</x:f>
      </x:c>
      <x:c r="H339" s="19" t="str">
        <x:f>IF($C339="","",XLOOKUP($C339,Products!$A$5:$A$34,Products!$E$5:$E$34,""))</x:f>
      </x:c>
      <x:c r="I339" s="19" t="str">
        <x:f>IF(OR($C339="",$D339=""),"",($D339*$G339))</x:f>
      </x:c>
      <x:c r="J339" s="18"/>
      <x:c r="K339" s="19" t="str">
        <x:f>IF(OR($C339="",$D339=""),"",$I339-($D339*$H339))</x:f>
      </x:c>
      <x:c r="L339" s="18"/>
      <x:c r="M339" s="18"/>
    </x:row>
    <x:row r="340" ht="15" hidden="0" customHeight="1">
      <x:c r="A340" s="22"/>
      <x:c r="B340" s="18"/>
      <x:c r="C340" s="18"/>
      <x:c r="D340" s="18"/>
      <x:c r="E340" s="18" t="str">
        <x:f>IF($C340="","",XLOOKUP($C340,Products!$A$5:$A$34,Products!$B$5:$B$34,""))</x:f>
      </x:c>
      <x:c r="F340" s="18" t="str">
        <x:f>IF($C340="","",XLOOKUP($C340,Products!$A$5:$A$34,Products!$C$5:$C$34,""))</x:f>
      </x:c>
      <x:c r="G340" s="19" t="str">
        <x:f>IF($C340="","",XLOOKUP($C340,Products!$A$5:$A$34,Products!$F$5:$F$34,""))</x:f>
      </x:c>
      <x:c r="H340" s="19" t="str">
        <x:f>IF($C340="","",XLOOKUP($C340,Products!$A$5:$A$34,Products!$E$5:$E$34,""))</x:f>
      </x:c>
      <x:c r="I340" s="19" t="str">
        <x:f>IF(OR($C340="",$D340=""),"",($D340*$G340))</x:f>
      </x:c>
      <x:c r="J340" s="18"/>
      <x:c r="K340" s="19" t="str">
        <x:f>IF(OR($C340="",$D340=""),"",$I340-($D340*$H340))</x:f>
      </x:c>
      <x:c r="L340" s="18"/>
      <x:c r="M340" s="18"/>
    </x:row>
    <x:row r="341" ht="15" hidden="0" customHeight="1">
      <x:c r="A341" s="22"/>
      <x:c r="B341" s="18"/>
      <x:c r="C341" s="18"/>
      <x:c r="D341" s="18"/>
      <x:c r="E341" s="18" t="str">
        <x:f>IF($C341="","",XLOOKUP($C341,Products!$A$5:$A$34,Products!$B$5:$B$34,""))</x:f>
      </x:c>
      <x:c r="F341" s="18" t="str">
        <x:f>IF($C341="","",XLOOKUP($C341,Products!$A$5:$A$34,Products!$C$5:$C$34,""))</x:f>
      </x:c>
      <x:c r="G341" s="19" t="str">
        <x:f>IF($C341="","",XLOOKUP($C341,Products!$A$5:$A$34,Products!$F$5:$F$34,""))</x:f>
      </x:c>
      <x:c r="H341" s="19" t="str">
        <x:f>IF($C341="","",XLOOKUP($C341,Products!$A$5:$A$34,Products!$E$5:$E$34,""))</x:f>
      </x:c>
      <x:c r="I341" s="19" t="str">
        <x:f>IF(OR($C341="",$D341=""),"",($D341*$G341))</x:f>
      </x:c>
      <x:c r="J341" s="18"/>
      <x:c r="K341" s="19" t="str">
        <x:f>IF(OR($C341="",$D341=""),"",$I341-($D341*$H341))</x:f>
      </x:c>
      <x:c r="L341" s="18"/>
      <x:c r="M341" s="18"/>
    </x:row>
    <x:row r="342" ht="15" hidden="0" customHeight="1">
      <x:c r="A342" s="22"/>
      <x:c r="B342" s="18"/>
      <x:c r="C342" s="18"/>
      <x:c r="D342" s="18"/>
      <x:c r="E342" s="18" t="str">
        <x:f>IF($C342="","",XLOOKUP($C342,Products!$A$5:$A$34,Products!$B$5:$B$34,""))</x:f>
      </x:c>
      <x:c r="F342" s="18" t="str">
        <x:f>IF($C342="","",XLOOKUP($C342,Products!$A$5:$A$34,Products!$C$5:$C$34,""))</x:f>
      </x:c>
      <x:c r="G342" s="19" t="str">
        <x:f>IF($C342="","",XLOOKUP($C342,Products!$A$5:$A$34,Products!$F$5:$F$34,""))</x:f>
      </x:c>
      <x:c r="H342" s="19" t="str">
        <x:f>IF($C342="","",XLOOKUP($C342,Products!$A$5:$A$34,Products!$E$5:$E$34,""))</x:f>
      </x:c>
      <x:c r="I342" s="19" t="str">
        <x:f>IF(OR($C342="",$D342=""),"",($D342*$G342))</x:f>
      </x:c>
      <x:c r="J342" s="18"/>
      <x:c r="K342" s="19" t="str">
        <x:f>IF(OR($C342="",$D342=""),"",$I342-($D342*$H342))</x:f>
      </x:c>
      <x:c r="L342" s="18"/>
      <x:c r="M342" s="18"/>
    </x:row>
    <x:row r="343" ht="15" hidden="0" customHeight="1">
      <x:c r="A343" s="22"/>
      <x:c r="B343" s="18"/>
      <x:c r="C343" s="18"/>
      <x:c r="D343" s="18"/>
      <x:c r="E343" s="18" t="str">
        <x:f>IF($C343="","",XLOOKUP($C343,Products!$A$5:$A$34,Products!$B$5:$B$34,""))</x:f>
      </x:c>
      <x:c r="F343" s="18" t="str">
        <x:f>IF($C343="","",XLOOKUP($C343,Products!$A$5:$A$34,Products!$C$5:$C$34,""))</x:f>
      </x:c>
      <x:c r="G343" s="19" t="str">
        <x:f>IF($C343="","",XLOOKUP($C343,Products!$A$5:$A$34,Products!$F$5:$F$34,""))</x:f>
      </x:c>
      <x:c r="H343" s="19" t="str">
        <x:f>IF($C343="","",XLOOKUP($C343,Products!$A$5:$A$34,Products!$E$5:$E$34,""))</x:f>
      </x:c>
      <x:c r="I343" s="19" t="str">
        <x:f>IF(OR($C343="",$D343=""),"",($D343*$G343))</x:f>
      </x:c>
      <x:c r="J343" s="18"/>
      <x:c r="K343" s="19" t="str">
        <x:f>IF(OR($C343="",$D343=""),"",$I343-($D343*$H343))</x:f>
      </x:c>
      <x:c r="L343" s="18"/>
      <x:c r="M343" s="18"/>
    </x:row>
    <x:row r="344" ht="15" hidden="0" customHeight="1">
      <x:c r="A344" s="22"/>
      <x:c r="B344" s="18"/>
      <x:c r="C344" s="18"/>
      <x:c r="D344" s="18"/>
      <x:c r="E344" s="18" t="str">
        <x:f>IF($C344="","",XLOOKUP($C344,Products!$A$5:$A$34,Products!$B$5:$B$34,""))</x:f>
      </x:c>
      <x:c r="F344" s="18" t="str">
        <x:f>IF($C344="","",XLOOKUP($C344,Products!$A$5:$A$34,Products!$C$5:$C$34,""))</x:f>
      </x:c>
      <x:c r="G344" s="19" t="str">
        <x:f>IF($C344="","",XLOOKUP($C344,Products!$A$5:$A$34,Products!$F$5:$F$34,""))</x:f>
      </x:c>
      <x:c r="H344" s="19" t="str">
        <x:f>IF($C344="","",XLOOKUP($C344,Products!$A$5:$A$34,Products!$E$5:$E$34,""))</x:f>
      </x:c>
      <x:c r="I344" s="19" t="str">
        <x:f>IF(OR($C344="",$D344=""),"",($D344*$G344))</x:f>
      </x:c>
      <x:c r="J344" s="18"/>
      <x:c r="K344" s="19" t="str">
        <x:f>IF(OR($C344="",$D344=""),"",$I344-($D344*$H344))</x:f>
      </x:c>
      <x:c r="L344" s="18"/>
      <x:c r="M344" s="18"/>
    </x:row>
    <x:row r="345" ht="15" hidden="0" customHeight="1">
      <x:c r="A345" s="22"/>
      <x:c r="B345" s="18"/>
      <x:c r="C345" s="18"/>
      <x:c r="D345" s="18"/>
      <x:c r="E345" s="18" t="str">
        <x:f>IF($C345="","",XLOOKUP($C345,Products!$A$5:$A$34,Products!$B$5:$B$34,""))</x:f>
      </x:c>
      <x:c r="F345" s="18" t="str">
        <x:f>IF($C345="","",XLOOKUP($C345,Products!$A$5:$A$34,Products!$C$5:$C$34,""))</x:f>
      </x:c>
      <x:c r="G345" s="19" t="str">
        <x:f>IF($C345="","",XLOOKUP($C345,Products!$A$5:$A$34,Products!$F$5:$F$34,""))</x:f>
      </x:c>
      <x:c r="H345" s="19" t="str">
        <x:f>IF($C345="","",XLOOKUP($C345,Products!$A$5:$A$34,Products!$E$5:$E$34,""))</x:f>
      </x:c>
      <x:c r="I345" s="19" t="str">
        <x:f>IF(OR($C345="",$D345=""),"",($D345*$G345))</x:f>
      </x:c>
      <x:c r="J345" s="18"/>
      <x:c r="K345" s="19" t="str">
        <x:f>IF(OR($C345="",$D345=""),"",$I345-($D345*$H345))</x:f>
      </x:c>
      <x:c r="L345" s="18"/>
      <x:c r="M345" s="18"/>
    </x:row>
    <x:row r="346" ht="15" hidden="0" customHeight="1">
      <x:c r="A346" s="22"/>
      <x:c r="B346" s="18"/>
      <x:c r="C346" s="18"/>
      <x:c r="D346" s="18"/>
      <x:c r="E346" s="18" t="str">
        <x:f>IF($C346="","",XLOOKUP($C346,Products!$A$5:$A$34,Products!$B$5:$B$34,""))</x:f>
      </x:c>
      <x:c r="F346" s="18" t="str">
        <x:f>IF($C346="","",XLOOKUP($C346,Products!$A$5:$A$34,Products!$C$5:$C$34,""))</x:f>
      </x:c>
      <x:c r="G346" s="19" t="str">
        <x:f>IF($C346="","",XLOOKUP($C346,Products!$A$5:$A$34,Products!$F$5:$F$34,""))</x:f>
      </x:c>
      <x:c r="H346" s="19" t="str">
        <x:f>IF($C346="","",XLOOKUP($C346,Products!$A$5:$A$34,Products!$E$5:$E$34,""))</x:f>
      </x:c>
      <x:c r="I346" s="19" t="str">
        <x:f>IF(OR($C346="",$D346=""),"",($D346*$G346))</x:f>
      </x:c>
      <x:c r="J346" s="18"/>
      <x:c r="K346" s="19" t="str">
        <x:f>IF(OR($C346="",$D346=""),"",$I346-($D346*$H346))</x:f>
      </x:c>
      <x:c r="L346" s="18"/>
      <x:c r="M346" s="18"/>
    </x:row>
    <x:row r="347" ht="15" hidden="0" customHeight="1">
      <x:c r="A347" s="22"/>
      <x:c r="B347" s="18"/>
      <x:c r="C347" s="18"/>
      <x:c r="D347" s="18"/>
      <x:c r="E347" s="18" t="str">
        <x:f>IF($C347="","",XLOOKUP($C347,Products!$A$5:$A$34,Products!$B$5:$B$34,""))</x:f>
      </x:c>
      <x:c r="F347" s="18" t="str">
        <x:f>IF($C347="","",XLOOKUP($C347,Products!$A$5:$A$34,Products!$C$5:$C$34,""))</x:f>
      </x:c>
      <x:c r="G347" s="19" t="str">
        <x:f>IF($C347="","",XLOOKUP($C347,Products!$A$5:$A$34,Products!$F$5:$F$34,""))</x:f>
      </x:c>
      <x:c r="H347" s="19" t="str">
        <x:f>IF($C347="","",XLOOKUP($C347,Products!$A$5:$A$34,Products!$E$5:$E$34,""))</x:f>
      </x:c>
      <x:c r="I347" s="19" t="str">
        <x:f>IF(OR($C347="",$D347=""),"",($D347*$G347))</x:f>
      </x:c>
      <x:c r="J347" s="18"/>
      <x:c r="K347" s="19" t="str">
        <x:f>IF(OR($C347="",$D347=""),"",$I347-($D347*$H347))</x:f>
      </x:c>
      <x:c r="L347" s="18"/>
      <x:c r="M347" s="18"/>
    </x:row>
    <x:row r="348" ht="15" hidden="0" customHeight="1">
      <x:c r="A348" s="22"/>
      <x:c r="B348" s="18"/>
      <x:c r="C348" s="18"/>
      <x:c r="D348" s="18"/>
      <x:c r="E348" s="18" t="str">
        <x:f>IF($C348="","",XLOOKUP($C348,Products!$A$5:$A$34,Products!$B$5:$B$34,""))</x:f>
      </x:c>
      <x:c r="F348" s="18" t="str">
        <x:f>IF($C348="","",XLOOKUP($C348,Products!$A$5:$A$34,Products!$C$5:$C$34,""))</x:f>
      </x:c>
      <x:c r="G348" s="19" t="str">
        <x:f>IF($C348="","",XLOOKUP($C348,Products!$A$5:$A$34,Products!$F$5:$F$34,""))</x:f>
      </x:c>
      <x:c r="H348" s="19" t="str">
        <x:f>IF($C348="","",XLOOKUP($C348,Products!$A$5:$A$34,Products!$E$5:$E$34,""))</x:f>
      </x:c>
      <x:c r="I348" s="19" t="str">
        <x:f>IF(OR($C348="",$D348=""),"",($D348*$G348))</x:f>
      </x:c>
      <x:c r="J348" s="18"/>
      <x:c r="K348" s="19" t="str">
        <x:f>IF(OR($C348="",$D348=""),"",$I348-($D348*$H348))</x:f>
      </x:c>
      <x:c r="L348" s="18"/>
      <x:c r="M348" s="18"/>
    </x:row>
    <x:row r="349" ht="15" hidden="0" customHeight="1">
      <x:c r="A349" s="22"/>
      <x:c r="B349" s="18"/>
      <x:c r="C349" s="18"/>
      <x:c r="D349" s="18"/>
      <x:c r="E349" s="18" t="str">
        <x:f>IF($C349="","",XLOOKUP($C349,Products!$A$5:$A$34,Products!$B$5:$B$34,""))</x:f>
      </x:c>
      <x:c r="F349" s="18" t="str">
        <x:f>IF($C349="","",XLOOKUP($C349,Products!$A$5:$A$34,Products!$C$5:$C$34,""))</x:f>
      </x:c>
      <x:c r="G349" s="19" t="str">
        <x:f>IF($C349="","",XLOOKUP($C349,Products!$A$5:$A$34,Products!$F$5:$F$34,""))</x:f>
      </x:c>
      <x:c r="H349" s="19" t="str">
        <x:f>IF($C349="","",XLOOKUP($C349,Products!$A$5:$A$34,Products!$E$5:$E$34,""))</x:f>
      </x:c>
      <x:c r="I349" s="19" t="str">
        <x:f>IF(OR($C349="",$D349=""),"",($D349*$G349))</x:f>
      </x:c>
      <x:c r="J349" s="18"/>
      <x:c r="K349" s="19" t="str">
        <x:f>IF(OR($C349="",$D349=""),"",$I349-($D349*$H349))</x:f>
      </x:c>
      <x:c r="L349" s="18"/>
      <x:c r="M349" s="18"/>
    </x:row>
    <x:row r="350" ht="15" hidden="0" customHeight="1">
      <x:c r="A350" s="22"/>
      <x:c r="B350" s="18"/>
      <x:c r="C350" s="18"/>
      <x:c r="D350" s="18"/>
      <x:c r="E350" s="18" t="str">
        <x:f>IF($C350="","",XLOOKUP($C350,Products!$A$5:$A$34,Products!$B$5:$B$34,""))</x:f>
      </x:c>
      <x:c r="F350" s="18" t="str">
        <x:f>IF($C350="","",XLOOKUP($C350,Products!$A$5:$A$34,Products!$C$5:$C$34,""))</x:f>
      </x:c>
      <x:c r="G350" s="19" t="str">
        <x:f>IF($C350="","",XLOOKUP($C350,Products!$A$5:$A$34,Products!$F$5:$F$34,""))</x:f>
      </x:c>
      <x:c r="H350" s="19" t="str">
        <x:f>IF($C350="","",XLOOKUP($C350,Products!$A$5:$A$34,Products!$E$5:$E$34,""))</x:f>
      </x:c>
      <x:c r="I350" s="19" t="str">
        <x:f>IF(OR($C350="",$D350=""),"",($D350*$G350))</x:f>
      </x:c>
      <x:c r="J350" s="18"/>
      <x:c r="K350" s="19" t="str">
        <x:f>IF(OR($C350="",$D350=""),"",$I350-($D350*$H350))</x:f>
      </x:c>
      <x:c r="L350" s="18"/>
      <x:c r="M350" s="18"/>
    </x:row>
    <x:row r="351" ht="15" hidden="0" customHeight="1">
      <x:c r="A351" s="22"/>
      <x:c r="B351" s="18"/>
      <x:c r="C351" s="18"/>
      <x:c r="D351" s="18"/>
      <x:c r="E351" s="18" t="str">
        <x:f>IF($C351="","",XLOOKUP($C351,Products!$A$5:$A$34,Products!$B$5:$B$34,""))</x:f>
      </x:c>
      <x:c r="F351" s="18" t="str">
        <x:f>IF($C351="","",XLOOKUP($C351,Products!$A$5:$A$34,Products!$C$5:$C$34,""))</x:f>
      </x:c>
      <x:c r="G351" s="19" t="str">
        <x:f>IF($C351="","",XLOOKUP($C351,Products!$A$5:$A$34,Products!$F$5:$F$34,""))</x:f>
      </x:c>
      <x:c r="H351" s="19" t="str">
        <x:f>IF($C351="","",XLOOKUP($C351,Products!$A$5:$A$34,Products!$E$5:$E$34,""))</x:f>
      </x:c>
      <x:c r="I351" s="19" t="str">
        <x:f>IF(OR($C351="",$D351=""),"",($D351*$G351))</x:f>
      </x:c>
      <x:c r="J351" s="18"/>
      <x:c r="K351" s="19" t="str">
        <x:f>IF(OR($C351="",$D351=""),"",$I351-($D351*$H351))</x:f>
      </x:c>
      <x:c r="L351" s="18"/>
      <x:c r="M351" s="18"/>
    </x:row>
    <x:row r="352" ht="15" hidden="0" customHeight="1">
      <x:c r="A352" s="22"/>
      <x:c r="B352" s="18"/>
      <x:c r="C352" s="18"/>
      <x:c r="D352" s="18"/>
      <x:c r="E352" s="18" t="str">
        <x:f>IF($C352="","",XLOOKUP($C352,Products!$A$5:$A$34,Products!$B$5:$B$34,""))</x:f>
      </x:c>
      <x:c r="F352" s="18" t="str">
        <x:f>IF($C352="","",XLOOKUP($C352,Products!$A$5:$A$34,Products!$C$5:$C$34,""))</x:f>
      </x:c>
      <x:c r="G352" s="19" t="str">
        <x:f>IF($C352="","",XLOOKUP($C352,Products!$A$5:$A$34,Products!$F$5:$F$34,""))</x:f>
      </x:c>
      <x:c r="H352" s="19" t="str">
        <x:f>IF($C352="","",XLOOKUP($C352,Products!$A$5:$A$34,Products!$E$5:$E$34,""))</x:f>
      </x:c>
      <x:c r="I352" s="19" t="str">
        <x:f>IF(OR($C352="",$D352=""),"",($D352*$G352))</x:f>
      </x:c>
      <x:c r="J352" s="18"/>
      <x:c r="K352" s="19" t="str">
        <x:f>IF(OR($C352="",$D352=""),"",$I352-($D352*$H352))</x:f>
      </x:c>
      <x:c r="L352" s="18"/>
      <x:c r="M352" s="18"/>
    </x:row>
    <x:row r="353" ht="15" hidden="0" customHeight="1">
      <x:c r="A353" s="22"/>
      <x:c r="B353" s="18"/>
      <x:c r="C353" s="18"/>
      <x:c r="D353" s="18"/>
      <x:c r="E353" s="18" t="str">
        <x:f>IF($C353="","",XLOOKUP($C353,Products!$A$5:$A$34,Products!$B$5:$B$34,""))</x:f>
      </x:c>
      <x:c r="F353" s="18" t="str">
        <x:f>IF($C353="","",XLOOKUP($C353,Products!$A$5:$A$34,Products!$C$5:$C$34,""))</x:f>
      </x:c>
      <x:c r="G353" s="19" t="str">
        <x:f>IF($C353="","",XLOOKUP($C353,Products!$A$5:$A$34,Products!$F$5:$F$34,""))</x:f>
      </x:c>
      <x:c r="H353" s="19" t="str">
        <x:f>IF($C353="","",XLOOKUP($C353,Products!$A$5:$A$34,Products!$E$5:$E$34,""))</x:f>
      </x:c>
      <x:c r="I353" s="19" t="str">
        <x:f>IF(OR($C353="",$D353=""),"",($D353*$G353))</x:f>
      </x:c>
      <x:c r="J353" s="18"/>
      <x:c r="K353" s="19" t="str">
        <x:f>IF(OR($C353="",$D353=""),"",$I353-($D353*$H353))</x:f>
      </x:c>
      <x:c r="L353" s="18"/>
      <x:c r="M353" s="18"/>
    </x:row>
    <x:row r="354" ht="15" hidden="0" customHeight="1">
      <x:c r="A354" s="22"/>
      <x:c r="B354" s="18"/>
      <x:c r="C354" s="18"/>
      <x:c r="D354" s="18"/>
      <x:c r="E354" s="18" t="str">
        <x:f>IF($C354="","",XLOOKUP($C354,Products!$A$5:$A$34,Products!$B$5:$B$34,""))</x:f>
      </x:c>
      <x:c r="F354" s="18" t="str">
        <x:f>IF($C354="","",XLOOKUP($C354,Products!$A$5:$A$34,Products!$C$5:$C$34,""))</x:f>
      </x:c>
      <x:c r="G354" s="19" t="str">
        <x:f>IF($C354="","",XLOOKUP($C354,Products!$A$5:$A$34,Products!$F$5:$F$34,""))</x:f>
      </x:c>
      <x:c r="H354" s="19" t="str">
        <x:f>IF($C354="","",XLOOKUP($C354,Products!$A$5:$A$34,Products!$E$5:$E$34,""))</x:f>
      </x:c>
      <x:c r="I354" s="19" t="str">
        <x:f>IF(OR($C354="",$D354=""),"",($D354*$G354))</x:f>
      </x:c>
      <x:c r="J354" s="18"/>
      <x:c r="K354" s="19" t="str">
        <x:f>IF(OR($C354="",$D354=""),"",$I354-($D354*$H354))</x:f>
      </x:c>
      <x:c r="L354" s="18"/>
      <x:c r="M354" s="18"/>
    </x:row>
    <x:row r="355" ht="15" hidden="0" customHeight="1">
      <x:c r="A355" s="22"/>
      <x:c r="B355" s="18"/>
      <x:c r="C355" s="18"/>
      <x:c r="D355" s="18"/>
      <x:c r="E355" s="18" t="str">
        <x:f>IF($C355="","",XLOOKUP($C355,Products!$A$5:$A$34,Products!$B$5:$B$34,""))</x:f>
      </x:c>
      <x:c r="F355" s="18" t="str">
        <x:f>IF($C355="","",XLOOKUP($C355,Products!$A$5:$A$34,Products!$C$5:$C$34,""))</x:f>
      </x:c>
      <x:c r="G355" s="19" t="str">
        <x:f>IF($C355="","",XLOOKUP($C355,Products!$A$5:$A$34,Products!$F$5:$F$34,""))</x:f>
      </x:c>
      <x:c r="H355" s="19" t="str">
        <x:f>IF($C355="","",XLOOKUP($C355,Products!$A$5:$A$34,Products!$E$5:$E$34,""))</x:f>
      </x:c>
      <x:c r="I355" s="19" t="str">
        <x:f>IF(OR($C355="",$D355=""),"",($D355*$G355))</x:f>
      </x:c>
      <x:c r="J355" s="18"/>
      <x:c r="K355" s="19" t="str">
        <x:f>IF(OR($C355="",$D355=""),"",$I355-($D355*$H355))</x:f>
      </x:c>
      <x:c r="L355" s="18"/>
      <x:c r="M355" s="18"/>
    </x:row>
    <x:row r="356" ht="15" hidden="0" customHeight="1">
      <x:c r="A356" s="22"/>
      <x:c r="B356" s="18"/>
      <x:c r="C356" s="18"/>
      <x:c r="D356" s="18"/>
      <x:c r="E356" s="18" t="str">
        <x:f>IF($C356="","",XLOOKUP($C356,Products!$A$5:$A$34,Products!$B$5:$B$34,""))</x:f>
      </x:c>
      <x:c r="F356" s="18" t="str">
        <x:f>IF($C356="","",XLOOKUP($C356,Products!$A$5:$A$34,Products!$C$5:$C$34,""))</x:f>
      </x:c>
      <x:c r="G356" s="19" t="str">
        <x:f>IF($C356="","",XLOOKUP($C356,Products!$A$5:$A$34,Products!$F$5:$F$34,""))</x:f>
      </x:c>
      <x:c r="H356" s="19" t="str">
        <x:f>IF($C356="","",XLOOKUP($C356,Products!$A$5:$A$34,Products!$E$5:$E$34,""))</x:f>
      </x:c>
      <x:c r="I356" s="19" t="str">
        <x:f>IF(OR($C356="",$D356=""),"",($D356*$G356))</x:f>
      </x:c>
      <x:c r="J356" s="18"/>
      <x:c r="K356" s="19" t="str">
        <x:f>IF(OR($C356="",$D356=""),"",$I356-($D356*$H356))</x:f>
      </x:c>
      <x:c r="L356" s="18"/>
      <x:c r="M356" s="18"/>
    </x:row>
    <x:row r="357" ht="15" hidden="0" customHeight="1">
      <x:c r="A357" s="22"/>
      <x:c r="B357" s="18"/>
      <x:c r="C357" s="18"/>
      <x:c r="D357" s="18"/>
      <x:c r="E357" s="18" t="str">
        <x:f>IF($C357="","",XLOOKUP($C357,Products!$A$5:$A$34,Products!$B$5:$B$34,""))</x:f>
      </x:c>
      <x:c r="F357" s="18" t="str">
        <x:f>IF($C357="","",XLOOKUP($C357,Products!$A$5:$A$34,Products!$C$5:$C$34,""))</x:f>
      </x:c>
      <x:c r="G357" s="19" t="str">
        <x:f>IF($C357="","",XLOOKUP($C357,Products!$A$5:$A$34,Products!$F$5:$F$34,""))</x:f>
      </x:c>
      <x:c r="H357" s="19" t="str">
        <x:f>IF($C357="","",XLOOKUP($C357,Products!$A$5:$A$34,Products!$E$5:$E$34,""))</x:f>
      </x:c>
      <x:c r="I357" s="19" t="str">
        <x:f>IF(OR($C357="",$D357=""),"",($D357*$G357))</x:f>
      </x:c>
      <x:c r="J357" s="18"/>
      <x:c r="K357" s="19" t="str">
        <x:f>IF(OR($C357="",$D357=""),"",$I357-($D357*$H357))</x:f>
      </x:c>
      <x:c r="L357" s="18"/>
      <x:c r="M357" s="18"/>
    </x:row>
    <x:row r="358" ht="15" hidden="0" customHeight="1">
      <x:c r="A358" s="22"/>
      <x:c r="B358" s="18"/>
      <x:c r="C358" s="18"/>
      <x:c r="D358" s="18"/>
      <x:c r="E358" s="18" t="str">
        <x:f>IF($C358="","",XLOOKUP($C358,Products!$A$5:$A$34,Products!$B$5:$B$34,""))</x:f>
      </x:c>
      <x:c r="F358" s="18" t="str">
        <x:f>IF($C358="","",XLOOKUP($C358,Products!$A$5:$A$34,Products!$C$5:$C$34,""))</x:f>
      </x:c>
      <x:c r="G358" s="19" t="str">
        <x:f>IF($C358="","",XLOOKUP($C358,Products!$A$5:$A$34,Products!$F$5:$F$34,""))</x:f>
      </x:c>
      <x:c r="H358" s="19" t="str">
        <x:f>IF($C358="","",XLOOKUP($C358,Products!$A$5:$A$34,Products!$E$5:$E$34,""))</x:f>
      </x:c>
      <x:c r="I358" s="19" t="str">
        <x:f>IF(OR($C358="",$D358=""),"",($D358*$G358))</x:f>
      </x:c>
      <x:c r="J358" s="18"/>
      <x:c r="K358" s="19" t="str">
        <x:f>IF(OR($C358="",$D358=""),"",$I358-($D358*$H358))</x:f>
      </x:c>
      <x:c r="L358" s="18"/>
      <x:c r="M358" s="18"/>
    </x:row>
    <x:row r="359" ht="15" hidden="0" customHeight="1">
      <x:c r="A359" s="22"/>
      <x:c r="B359" s="18"/>
      <x:c r="C359" s="18"/>
      <x:c r="D359" s="18"/>
      <x:c r="E359" s="18" t="str">
        <x:f>IF($C359="","",XLOOKUP($C359,Products!$A$5:$A$34,Products!$B$5:$B$34,""))</x:f>
      </x:c>
      <x:c r="F359" s="18" t="str">
        <x:f>IF($C359="","",XLOOKUP($C359,Products!$A$5:$A$34,Products!$C$5:$C$34,""))</x:f>
      </x:c>
      <x:c r="G359" s="19" t="str">
        <x:f>IF($C359="","",XLOOKUP($C359,Products!$A$5:$A$34,Products!$F$5:$F$34,""))</x:f>
      </x:c>
      <x:c r="H359" s="19" t="str">
        <x:f>IF($C359="","",XLOOKUP($C359,Products!$A$5:$A$34,Products!$E$5:$E$34,""))</x:f>
      </x:c>
      <x:c r="I359" s="19" t="str">
        <x:f>IF(OR($C359="",$D359=""),"",($D359*$G359))</x:f>
      </x:c>
      <x:c r="J359" s="18"/>
      <x:c r="K359" s="19" t="str">
        <x:f>IF(OR($C359="",$D359=""),"",$I359-($D359*$H359))</x:f>
      </x:c>
      <x:c r="L359" s="18"/>
      <x:c r="M359" s="18"/>
    </x:row>
    <x:row r="360" ht="15" hidden="0" customHeight="1">
      <x:c r="A360" s="22"/>
      <x:c r="B360" s="18"/>
      <x:c r="C360" s="18"/>
      <x:c r="D360" s="18"/>
      <x:c r="E360" s="18" t="str">
        <x:f>IF($C360="","",XLOOKUP($C360,Products!$A$5:$A$34,Products!$B$5:$B$34,""))</x:f>
      </x:c>
      <x:c r="F360" s="18" t="str">
        <x:f>IF($C360="","",XLOOKUP($C360,Products!$A$5:$A$34,Products!$C$5:$C$34,""))</x:f>
      </x:c>
      <x:c r="G360" s="19" t="str">
        <x:f>IF($C360="","",XLOOKUP($C360,Products!$A$5:$A$34,Products!$F$5:$F$34,""))</x:f>
      </x:c>
      <x:c r="H360" s="19" t="str">
        <x:f>IF($C360="","",XLOOKUP($C360,Products!$A$5:$A$34,Products!$E$5:$E$34,""))</x:f>
      </x:c>
      <x:c r="I360" s="19" t="str">
        <x:f>IF(OR($C360="",$D360=""),"",($D360*$G360))</x:f>
      </x:c>
      <x:c r="J360" s="18"/>
      <x:c r="K360" s="19" t="str">
        <x:f>IF(OR($C360="",$D360=""),"",$I360-($D360*$H360))</x:f>
      </x:c>
      <x:c r="L360" s="18"/>
      <x:c r="M360" s="18"/>
    </x:row>
    <x:row r="361" ht="15" hidden="0" customHeight="1">
      <x:c r="A361" s="22"/>
      <x:c r="B361" s="18"/>
      <x:c r="C361" s="18"/>
      <x:c r="D361" s="18"/>
      <x:c r="E361" s="18" t="str">
        <x:f>IF($C361="","",XLOOKUP($C361,Products!$A$5:$A$34,Products!$B$5:$B$34,""))</x:f>
      </x:c>
      <x:c r="F361" s="18" t="str">
        <x:f>IF($C361="","",XLOOKUP($C361,Products!$A$5:$A$34,Products!$C$5:$C$34,""))</x:f>
      </x:c>
      <x:c r="G361" s="19" t="str">
        <x:f>IF($C361="","",XLOOKUP($C361,Products!$A$5:$A$34,Products!$F$5:$F$34,""))</x:f>
      </x:c>
      <x:c r="H361" s="19" t="str">
        <x:f>IF($C361="","",XLOOKUP($C361,Products!$A$5:$A$34,Products!$E$5:$E$34,""))</x:f>
      </x:c>
      <x:c r="I361" s="19" t="str">
        <x:f>IF(OR($C361="",$D361=""),"",($D361*$G361))</x:f>
      </x:c>
      <x:c r="J361" s="18"/>
      <x:c r="K361" s="19" t="str">
        <x:f>IF(OR($C361="",$D361=""),"",$I361-($D361*$H361))</x:f>
      </x:c>
      <x:c r="L361" s="18"/>
      <x:c r="M361" s="18"/>
    </x:row>
    <x:row r="362" ht="15" hidden="0" customHeight="1">
      <x:c r="A362" s="22"/>
      <x:c r="B362" s="18"/>
      <x:c r="C362" s="18"/>
      <x:c r="D362" s="18"/>
      <x:c r="E362" s="18" t="str">
        <x:f>IF($C362="","",XLOOKUP($C362,Products!$A$5:$A$34,Products!$B$5:$B$34,""))</x:f>
      </x:c>
      <x:c r="F362" s="18" t="str">
        <x:f>IF($C362="","",XLOOKUP($C362,Products!$A$5:$A$34,Products!$C$5:$C$34,""))</x:f>
      </x:c>
      <x:c r="G362" s="19" t="str">
        <x:f>IF($C362="","",XLOOKUP($C362,Products!$A$5:$A$34,Products!$F$5:$F$34,""))</x:f>
      </x:c>
      <x:c r="H362" s="19" t="str">
        <x:f>IF($C362="","",XLOOKUP($C362,Products!$A$5:$A$34,Products!$E$5:$E$34,""))</x:f>
      </x:c>
      <x:c r="I362" s="19" t="str">
        <x:f>IF(OR($C362="",$D362=""),"",($D362*$G362))</x:f>
      </x:c>
      <x:c r="J362" s="18"/>
      <x:c r="K362" s="19" t="str">
        <x:f>IF(OR($C362="",$D362=""),"",$I362-($D362*$H362))</x:f>
      </x:c>
      <x:c r="L362" s="18"/>
      <x:c r="M362" s="18"/>
    </x:row>
    <x:row r="363" ht="15" hidden="0" customHeight="1">
      <x:c r="A363" s="22"/>
      <x:c r="B363" s="18"/>
      <x:c r="C363" s="18"/>
      <x:c r="D363" s="18"/>
      <x:c r="E363" s="18" t="str">
        <x:f>IF($C363="","",XLOOKUP($C363,Products!$A$5:$A$34,Products!$B$5:$B$34,""))</x:f>
      </x:c>
      <x:c r="F363" s="18" t="str">
        <x:f>IF($C363="","",XLOOKUP($C363,Products!$A$5:$A$34,Products!$C$5:$C$34,""))</x:f>
      </x:c>
      <x:c r="G363" s="19" t="str">
        <x:f>IF($C363="","",XLOOKUP($C363,Products!$A$5:$A$34,Products!$F$5:$F$34,""))</x:f>
      </x:c>
      <x:c r="H363" s="19" t="str">
        <x:f>IF($C363="","",XLOOKUP($C363,Products!$A$5:$A$34,Products!$E$5:$E$34,""))</x:f>
      </x:c>
      <x:c r="I363" s="19" t="str">
        <x:f>IF(OR($C363="",$D363=""),"",($D363*$G363))</x:f>
      </x:c>
      <x:c r="J363" s="18"/>
      <x:c r="K363" s="19" t="str">
        <x:f>IF(OR($C363="",$D363=""),"",$I363-($D363*$H363))</x:f>
      </x:c>
      <x:c r="L363" s="18"/>
      <x:c r="M363" s="18"/>
    </x:row>
    <x:row r="364" ht="15" hidden="0" customHeight="1">
      <x:c r="A364" s="22"/>
      <x:c r="B364" s="18"/>
      <x:c r="C364" s="18"/>
      <x:c r="D364" s="18"/>
      <x:c r="E364" s="18" t="str">
        <x:f>IF($C364="","",XLOOKUP($C364,Products!$A$5:$A$34,Products!$B$5:$B$34,""))</x:f>
      </x:c>
      <x:c r="F364" s="18" t="str">
        <x:f>IF($C364="","",XLOOKUP($C364,Products!$A$5:$A$34,Products!$C$5:$C$34,""))</x:f>
      </x:c>
      <x:c r="G364" s="19" t="str">
        <x:f>IF($C364="","",XLOOKUP($C364,Products!$A$5:$A$34,Products!$F$5:$F$34,""))</x:f>
      </x:c>
      <x:c r="H364" s="19" t="str">
        <x:f>IF($C364="","",XLOOKUP($C364,Products!$A$5:$A$34,Products!$E$5:$E$34,""))</x:f>
      </x:c>
      <x:c r="I364" s="19" t="str">
        <x:f>IF(OR($C364="",$D364=""),"",($D364*$G364))</x:f>
      </x:c>
      <x:c r="J364" s="18"/>
      <x:c r="K364" s="19" t="str">
        <x:f>IF(OR($C364="",$D364=""),"",$I364-($D364*$H364))</x:f>
      </x:c>
      <x:c r="L364" s="18"/>
      <x:c r="M364" s="18"/>
    </x:row>
    <x:row r="365" ht="15" hidden="0" customHeight="1">
      <x:c r="A365" s="22"/>
      <x:c r="B365" s="18"/>
      <x:c r="C365" s="18"/>
      <x:c r="D365" s="18"/>
      <x:c r="E365" s="18" t="str">
        <x:f>IF($C365="","",XLOOKUP($C365,Products!$A$5:$A$34,Products!$B$5:$B$34,""))</x:f>
      </x:c>
      <x:c r="F365" s="18" t="str">
        <x:f>IF($C365="","",XLOOKUP($C365,Products!$A$5:$A$34,Products!$C$5:$C$34,""))</x:f>
      </x:c>
      <x:c r="G365" s="19" t="str">
        <x:f>IF($C365="","",XLOOKUP($C365,Products!$A$5:$A$34,Products!$F$5:$F$34,""))</x:f>
      </x:c>
      <x:c r="H365" s="19" t="str">
        <x:f>IF($C365="","",XLOOKUP($C365,Products!$A$5:$A$34,Products!$E$5:$E$34,""))</x:f>
      </x:c>
      <x:c r="I365" s="19" t="str">
        <x:f>IF(OR($C365="",$D365=""),"",($D365*$G365))</x:f>
      </x:c>
      <x:c r="J365" s="18"/>
      <x:c r="K365" s="19" t="str">
        <x:f>IF(OR($C365="",$D365=""),"",$I365-($D365*$H365))</x:f>
      </x:c>
      <x:c r="L365" s="18"/>
      <x:c r="M365" s="18"/>
    </x:row>
    <x:row r="366" ht="15" hidden="0" customHeight="1">
      <x:c r="A366" s="22"/>
      <x:c r="B366" s="18"/>
      <x:c r="C366" s="18"/>
      <x:c r="D366" s="18"/>
      <x:c r="E366" s="18" t="str">
        <x:f>IF($C366="","",XLOOKUP($C366,Products!$A$5:$A$34,Products!$B$5:$B$34,""))</x:f>
      </x:c>
      <x:c r="F366" s="18" t="str">
        <x:f>IF($C366="","",XLOOKUP($C366,Products!$A$5:$A$34,Products!$C$5:$C$34,""))</x:f>
      </x:c>
      <x:c r="G366" s="19" t="str">
        <x:f>IF($C366="","",XLOOKUP($C366,Products!$A$5:$A$34,Products!$F$5:$F$34,""))</x:f>
      </x:c>
      <x:c r="H366" s="19" t="str">
        <x:f>IF($C366="","",XLOOKUP($C366,Products!$A$5:$A$34,Products!$E$5:$E$34,""))</x:f>
      </x:c>
      <x:c r="I366" s="19" t="str">
        <x:f>IF(OR($C366="",$D366=""),"",($D366*$G366))</x:f>
      </x:c>
      <x:c r="J366" s="18"/>
      <x:c r="K366" s="19" t="str">
        <x:f>IF(OR($C366="",$D366=""),"",$I366-($D366*$H366))</x:f>
      </x:c>
      <x:c r="L366" s="18"/>
      <x:c r="M366" s="18"/>
    </x:row>
    <x:row r="367" ht="15" hidden="0" customHeight="1">
      <x:c r="A367" s="22"/>
      <x:c r="B367" s="18"/>
      <x:c r="C367" s="18"/>
      <x:c r="D367" s="18"/>
      <x:c r="E367" s="18" t="str">
        <x:f>IF($C367="","",XLOOKUP($C367,Products!$A$5:$A$34,Products!$B$5:$B$34,""))</x:f>
      </x:c>
      <x:c r="F367" s="18" t="str">
        <x:f>IF($C367="","",XLOOKUP($C367,Products!$A$5:$A$34,Products!$C$5:$C$34,""))</x:f>
      </x:c>
      <x:c r="G367" s="19" t="str">
        <x:f>IF($C367="","",XLOOKUP($C367,Products!$A$5:$A$34,Products!$F$5:$F$34,""))</x:f>
      </x:c>
      <x:c r="H367" s="19" t="str">
        <x:f>IF($C367="","",XLOOKUP($C367,Products!$A$5:$A$34,Products!$E$5:$E$34,""))</x:f>
      </x:c>
      <x:c r="I367" s="19" t="str">
        <x:f>IF(OR($C367="",$D367=""),"",($D367*$G367))</x:f>
      </x:c>
      <x:c r="J367" s="18"/>
      <x:c r="K367" s="19" t="str">
        <x:f>IF(OR($C367="",$D367=""),"",$I367-($D367*$H367))</x:f>
      </x:c>
      <x:c r="L367" s="18"/>
      <x:c r="M367" s="18"/>
    </x:row>
    <x:row r="368" ht="15" hidden="0" customHeight="1">
      <x:c r="A368" s="22"/>
      <x:c r="B368" s="18"/>
      <x:c r="C368" s="18"/>
      <x:c r="D368" s="18"/>
      <x:c r="E368" s="18" t="str">
        <x:f>IF($C368="","",XLOOKUP($C368,Products!$A$5:$A$34,Products!$B$5:$B$34,""))</x:f>
      </x:c>
      <x:c r="F368" s="18" t="str">
        <x:f>IF($C368="","",XLOOKUP($C368,Products!$A$5:$A$34,Products!$C$5:$C$34,""))</x:f>
      </x:c>
      <x:c r="G368" s="19" t="str">
        <x:f>IF($C368="","",XLOOKUP($C368,Products!$A$5:$A$34,Products!$F$5:$F$34,""))</x:f>
      </x:c>
      <x:c r="H368" s="19" t="str">
        <x:f>IF($C368="","",XLOOKUP($C368,Products!$A$5:$A$34,Products!$E$5:$E$34,""))</x:f>
      </x:c>
      <x:c r="I368" s="19" t="str">
        <x:f>IF(OR($C368="",$D368=""),"",($D368*$G368))</x:f>
      </x:c>
      <x:c r="J368" s="18"/>
      <x:c r="K368" s="19" t="str">
        <x:f>IF(OR($C368="",$D368=""),"",$I368-($D368*$H368))</x:f>
      </x:c>
      <x:c r="L368" s="18"/>
      <x:c r="M368" s="18"/>
    </x:row>
    <x:row r="369" ht="15" hidden="0" customHeight="1">
      <x:c r="A369" s="22"/>
      <x:c r="B369" s="18"/>
      <x:c r="C369" s="18"/>
      <x:c r="D369" s="18"/>
      <x:c r="E369" s="18" t="str">
        <x:f>IF($C369="","",XLOOKUP($C369,Products!$A$5:$A$34,Products!$B$5:$B$34,""))</x:f>
      </x:c>
      <x:c r="F369" s="18" t="str">
        <x:f>IF($C369="","",XLOOKUP($C369,Products!$A$5:$A$34,Products!$C$5:$C$34,""))</x:f>
      </x:c>
      <x:c r="G369" s="19" t="str">
        <x:f>IF($C369="","",XLOOKUP($C369,Products!$A$5:$A$34,Products!$F$5:$F$34,""))</x:f>
      </x:c>
      <x:c r="H369" s="19" t="str">
        <x:f>IF($C369="","",XLOOKUP($C369,Products!$A$5:$A$34,Products!$E$5:$E$34,""))</x:f>
      </x:c>
      <x:c r="I369" s="19" t="str">
        <x:f>IF(OR($C369="",$D369=""),"",($D369*$G369))</x:f>
      </x:c>
      <x:c r="J369" s="18"/>
      <x:c r="K369" s="19" t="str">
        <x:f>IF(OR($C369="",$D369=""),"",$I369-($D369*$H369))</x:f>
      </x:c>
      <x:c r="L369" s="18"/>
      <x:c r="M369" s="18"/>
    </x:row>
    <x:row r="370" ht="15" hidden="0" customHeight="1">
      <x:c r="A370" s="22"/>
      <x:c r="B370" s="18"/>
      <x:c r="C370" s="18"/>
      <x:c r="D370" s="18"/>
      <x:c r="E370" s="18" t="str">
        <x:f>IF($C370="","",XLOOKUP($C370,Products!$A$5:$A$34,Products!$B$5:$B$34,""))</x:f>
      </x:c>
      <x:c r="F370" s="18" t="str">
        <x:f>IF($C370="","",XLOOKUP($C370,Products!$A$5:$A$34,Products!$C$5:$C$34,""))</x:f>
      </x:c>
      <x:c r="G370" s="19" t="str">
        <x:f>IF($C370="","",XLOOKUP($C370,Products!$A$5:$A$34,Products!$F$5:$F$34,""))</x:f>
      </x:c>
      <x:c r="H370" s="19" t="str">
        <x:f>IF($C370="","",XLOOKUP($C370,Products!$A$5:$A$34,Products!$E$5:$E$34,""))</x:f>
      </x:c>
      <x:c r="I370" s="19" t="str">
        <x:f>IF(OR($C370="",$D370=""),"",($D370*$G370))</x:f>
      </x:c>
      <x:c r="J370" s="18"/>
      <x:c r="K370" s="19" t="str">
        <x:f>IF(OR($C370="",$D370=""),"",$I370-($D370*$H370))</x:f>
      </x:c>
      <x:c r="L370" s="18"/>
      <x:c r="M370" s="18"/>
    </x:row>
    <x:row r="371" ht="15" hidden="0" customHeight="1">
      <x:c r="A371" s="22"/>
      <x:c r="B371" s="18"/>
      <x:c r="C371" s="18"/>
      <x:c r="D371" s="18"/>
      <x:c r="E371" s="18" t="str">
        <x:f>IF($C371="","",XLOOKUP($C371,Products!$A$5:$A$34,Products!$B$5:$B$34,""))</x:f>
      </x:c>
      <x:c r="F371" s="18" t="str">
        <x:f>IF($C371="","",XLOOKUP($C371,Products!$A$5:$A$34,Products!$C$5:$C$34,""))</x:f>
      </x:c>
      <x:c r="G371" s="19" t="str">
        <x:f>IF($C371="","",XLOOKUP($C371,Products!$A$5:$A$34,Products!$F$5:$F$34,""))</x:f>
      </x:c>
      <x:c r="H371" s="19" t="str">
        <x:f>IF($C371="","",XLOOKUP($C371,Products!$A$5:$A$34,Products!$E$5:$E$34,""))</x:f>
      </x:c>
      <x:c r="I371" s="19" t="str">
        <x:f>IF(OR($C371="",$D371=""),"",($D371*$G371))</x:f>
      </x:c>
      <x:c r="J371" s="18"/>
      <x:c r="K371" s="19" t="str">
        <x:f>IF(OR($C371="",$D371=""),"",$I371-($D371*$H371))</x:f>
      </x:c>
      <x:c r="L371" s="18"/>
      <x:c r="M371" s="18"/>
    </x:row>
    <x:row r="372" ht="15" hidden="0" customHeight="1">
      <x:c r="A372" s="22"/>
      <x:c r="B372" s="18"/>
      <x:c r="C372" s="18"/>
      <x:c r="D372" s="18"/>
      <x:c r="E372" s="18" t="str">
        <x:f>IF($C372="","",XLOOKUP($C372,Products!$A$5:$A$34,Products!$B$5:$B$34,""))</x:f>
      </x:c>
      <x:c r="F372" s="18" t="str">
        <x:f>IF($C372="","",XLOOKUP($C372,Products!$A$5:$A$34,Products!$C$5:$C$34,""))</x:f>
      </x:c>
      <x:c r="G372" s="19" t="str">
        <x:f>IF($C372="","",XLOOKUP($C372,Products!$A$5:$A$34,Products!$F$5:$F$34,""))</x:f>
      </x:c>
      <x:c r="H372" s="19" t="str">
        <x:f>IF($C372="","",XLOOKUP($C372,Products!$A$5:$A$34,Products!$E$5:$E$34,""))</x:f>
      </x:c>
      <x:c r="I372" s="19" t="str">
        <x:f>IF(OR($C372="",$D372=""),"",($D372*$G372))</x:f>
      </x:c>
      <x:c r="J372" s="18"/>
      <x:c r="K372" s="19" t="str">
        <x:f>IF(OR($C372="",$D372=""),"",$I372-($D372*$H372))</x:f>
      </x:c>
      <x:c r="L372" s="18"/>
      <x:c r="M372" s="18"/>
    </x:row>
    <x:row r="373" ht="15" hidden="0" customHeight="1">
      <x:c r="A373" s="22"/>
      <x:c r="B373" s="18"/>
      <x:c r="C373" s="18"/>
      <x:c r="D373" s="18"/>
      <x:c r="E373" s="18" t="str">
        <x:f>IF($C373="","",XLOOKUP($C373,Products!$A$5:$A$34,Products!$B$5:$B$34,""))</x:f>
      </x:c>
      <x:c r="F373" s="18" t="str">
        <x:f>IF($C373="","",XLOOKUP($C373,Products!$A$5:$A$34,Products!$C$5:$C$34,""))</x:f>
      </x:c>
      <x:c r="G373" s="19" t="str">
        <x:f>IF($C373="","",XLOOKUP($C373,Products!$A$5:$A$34,Products!$F$5:$F$34,""))</x:f>
      </x:c>
      <x:c r="H373" s="19" t="str">
        <x:f>IF($C373="","",XLOOKUP($C373,Products!$A$5:$A$34,Products!$E$5:$E$34,""))</x:f>
      </x:c>
      <x:c r="I373" s="19" t="str">
        <x:f>IF(OR($C373="",$D373=""),"",($D373*$G373))</x:f>
      </x:c>
      <x:c r="J373" s="18"/>
      <x:c r="K373" s="19" t="str">
        <x:f>IF(OR($C373="",$D373=""),"",$I373-($D373*$H373))</x:f>
      </x:c>
      <x:c r="L373" s="18"/>
      <x:c r="M373" s="18"/>
    </x:row>
    <x:row r="374" ht="15" hidden="0" customHeight="1">
      <x:c r="A374" s="22"/>
      <x:c r="B374" s="18"/>
      <x:c r="C374" s="18"/>
      <x:c r="D374" s="18"/>
      <x:c r="E374" s="18" t="str">
        <x:f>IF($C374="","",XLOOKUP($C374,Products!$A$5:$A$34,Products!$B$5:$B$34,""))</x:f>
      </x:c>
      <x:c r="F374" s="18" t="str">
        <x:f>IF($C374="","",XLOOKUP($C374,Products!$A$5:$A$34,Products!$C$5:$C$34,""))</x:f>
      </x:c>
      <x:c r="G374" s="19" t="str">
        <x:f>IF($C374="","",XLOOKUP($C374,Products!$A$5:$A$34,Products!$F$5:$F$34,""))</x:f>
      </x:c>
      <x:c r="H374" s="19" t="str">
        <x:f>IF($C374="","",XLOOKUP($C374,Products!$A$5:$A$34,Products!$E$5:$E$34,""))</x:f>
      </x:c>
      <x:c r="I374" s="19" t="str">
        <x:f>IF(OR($C374="",$D374=""),"",($D374*$G374))</x:f>
      </x:c>
      <x:c r="J374" s="18"/>
      <x:c r="K374" s="19" t="str">
        <x:f>IF(OR($C374="",$D374=""),"",$I374-($D374*$H374))</x:f>
      </x:c>
      <x:c r="L374" s="18"/>
      <x:c r="M374" s="18"/>
    </x:row>
    <x:row r="375" ht="15" hidden="0" customHeight="1">
      <x:c r="A375" s="22"/>
      <x:c r="B375" s="18"/>
      <x:c r="C375" s="18"/>
      <x:c r="D375" s="18"/>
      <x:c r="E375" s="18" t="str">
        <x:f>IF($C375="","",XLOOKUP($C375,Products!$A$5:$A$34,Products!$B$5:$B$34,""))</x:f>
      </x:c>
      <x:c r="F375" s="18" t="str">
        <x:f>IF($C375="","",XLOOKUP($C375,Products!$A$5:$A$34,Products!$C$5:$C$34,""))</x:f>
      </x:c>
      <x:c r="G375" s="19" t="str">
        <x:f>IF($C375="","",XLOOKUP($C375,Products!$A$5:$A$34,Products!$F$5:$F$34,""))</x:f>
      </x:c>
      <x:c r="H375" s="19" t="str">
        <x:f>IF($C375="","",XLOOKUP($C375,Products!$A$5:$A$34,Products!$E$5:$E$34,""))</x:f>
      </x:c>
      <x:c r="I375" s="19" t="str">
        <x:f>IF(OR($C375="",$D375=""),"",($D375*$G375))</x:f>
      </x:c>
      <x:c r="J375" s="18"/>
      <x:c r="K375" s="19" t="str">
        <x:f>IF(OR($C375="",$D375=""),"",$I375-($D375*$H375))</x:f>
      </x:c>
      <x:c r="L375" s="18"/>
      <x:c r="M375" s="18"/>
    </x:row>
    <x:row r="376" ht="15" hidden="0" customHeight="1">
      <x:c r="A376" s="22"/>
      <x:c r="B376" s="18"/>
      <x:c r="C376" s="18"/>
      <x:c r="D376" s="18"/>
      <x:c r="E376" s="18" t="str">
        <x:f>IF($C376="","",XLOOKUP($C376,Products!$A$5:$A$34,Products!$B$5:$B$34,""))</x:f>
      </x:c>
      <x:c r="F376" s="18" t="str">
        <x:f>IF($C376="","",XLOOKUP($C376,Products!$A$5:$A$34,Products!$C$5:$C$34,""))</x:f>
      </x:c>
      <x:c r="G376" s="19" t="str">
        <x:f>IF($C376="","",XLOOKUP($C376,Products!$A$5:$A$34,Products!$F$5:$F$34,""))</x:f>
      </x:c>
      <x:c r="H376" s="19" t="str">
        <x:f>IF($C376="","",XLOOKUP($C376,Products!$A$5:$A$34,Products!$E$5:$E$34,""))</x:f>
      </x:c>
      <x:c r="I376" s="19" t="str">
        <x:f>IF(OR($C376="",$D376=""),"",($D376*$G376))</x:f>
      </x:c>
      <x:c r="J376" s="18"/>
      <x:c r="K376" s="19" t="str">
        <x:f>IF(OR($C376="",$D376=""),"",$I376-($D376*$H376))</x:f>
      </x:c>
      <x:c r="L376" s="18"/>
      <x:c r="M376" s="18"/>
    </x:row>
    <x:row r="377" ht="15" hidden="0" customHeight="1">
      <x:c r="A377" s="22"/>
      <x:c r="B377" s="18"/>
      <x:c r="C377" s="18"/>
      <x:c r="D377" s="18"/>
      <x:c r="E377" s="18" t="str">
        <x:f>IF($C377="","",XLOOKUP($C377,Products!$A$5:$A$34,Products!$B$5:$B$34,""))</x:f>
      </x:c>
      <x:c r="F377" s="18" t="str">
        <x:f>IF($C377="","",XLOOKUP($C377,Products!$A$5:$A$34,Products!$C$5:$C$34,""))</x:f>
      </x:c>
      <x:c r="G377" s="19" t="str">
        <x:f>IF($C377="","",XLOOKUP($C377,Products!$A$5:$A$34,Products!$F$5:$F$34,""))</x:f>
      </x:c>
      <x:c r="H377" s="19" t="str">
        <x:f>IF($C377="","",XLOOKUP($C377,Products!$A$5:$A$34,Products!$E$5:$E$34,""))</x:f>
      </x:c>
      <x:c r="I377" s="19" t="str">
        <x:f>IF(OR($C377="",$D377=""),"",($D377*$G377))</x:f>
      </x:c>
      <x:c r="J377" s="18"/>
      <x:c r="K377" s="19" t="str">
        <x:f>IF(OR($C377="",$D377=""),"",$I377-($D377*$H377))</x:f>
      </x:c>
      <x:c r="L377" s="18"/>
      <x:c r="M377" s="18"/>
    </x:row>
    <x:row r="378" ht="15" hidden="0" customHeight="1">
      <x:c r="A378" s="22"/>
      <x:c r="B378" s="18"/>
      <x:c r="C378" s="18"/>
      <x:c r="D378" s="18"/>
      <x:c r="E378" s="18" t="str">
        <x:f>IF($C378="","",XLOOKUP($C378,Products!$A$5:$A$34,Products!$B$5:$B$34,""))</x:f>
      </x:c>
      <x:c r="F378" s="18" t="str">
        <x:f>IF($C378="","",XLOOKUP($C378,Products!$A$5:$A$34,Products!$C$5:$C$34,""))</x:f>
      </x:c>
      <x:c r="G378" s="19" t="str">
        <x:f>IF($C378="","",XLOOKUP($C378,Products!$A$5:$A$34,Products!$F$5:$F$34,""))</x:f>
      </x:c>
      <x:c r="H378" s="19" t="str">
        <x:f>IF($C378="","",XLOOKUP($C378,Products!$A$5:$A$34,Products!$E$5:$E$34,""))</x:f>
      </x:c>
      <x:c r="I378" s="19" t="str">
        <x:f>IF(OR($C378="",$D378=""),"",($D378*$G378))</x:f>
      </x:c>
      <x:c r="J378" s="18"/>
      <x:c r="K378" s="19" t="str">
        <x:f>IF(OR($C378="",$D378=""),"",$I378-($D378*$H378))</x:f>
      </x:c>
      <x:c r="L378" s="18"/>
      <x:c r="M378" s="18"/>
    </x:row>
    <x:row r="379" ht="15" hidden="0" customHeight="1">
      <x:c r="A379" s="22"/>
      <x:c r="B379" s="18"/>
      <x:c r="C379" s="18"/>
      <x:c r="D379" s="18"/>
      <x:c r="E379" s="18" t="str">
        <x:f>IF($C379="","",XLOOKUP($C379,Products!$A$5:$A$34,Products!$B$5:$B$34,""))</x:f>
      </x:c>
      <x:c r="F379" s="18" t="str">
        <x:f>IF($C379="","",XLOOKUP($C379,Products!$A$5:$A$34,Products!$C$5:$C$34,""))</x:f>
      </x:c>
      <x:c r="G379" s="19" t="str">
        <x:f>IF($C379="","",XLOOKUP($C379,Products!$A$5:$A$34,Products!$F$5:$F$34,""))</x:f>
      </x:c>
      <x:c r="H379" s="19" t="str">
        <x:f>IF($C379="","",XLOOKUP($C379,Products!$A$5:$A$34,Products!$E$5:$E$34,""))</x:f>
      </x:c>
      <x:c r="I379" s="19" t="str">
        <x:f>IF(OR($C379="",$D379=""),"",($D379*$G379))</x:f>
      </x:c>
      <x:c r="J379" s="18"/>
      <x:c r="K379" s="19" t="str">
        <x:f>IF(OR($C379="",$D379=""),"",$I379-($D379*$H379))</x:f>
      </x:c>
      <x:c r="L379" s="18"/>
      <x:c r="M379" s="18"/>
    </x:row>
    <x:row r="380" ht="15" hidden="0" customHeight="1">
      <x:c r="A380" s="22"/>
      <x:c r="B380" s="18"/>
      <x:c r="C380" s="18"/>
      <x:c r="D380" s="18"/>
      <x:c r="E380" s="18" t="str">
        <x:f>IF($C380="","",XLOOKUP($C380,Products!$A$5:$A$34,Products!$B$5:$B$34,""))</x:f>
      </x:c>
      <x:c r="F380" s="18" t="str">
        <x:f>IF($C380="","",XLOOKUP($C380,Products!$A$5:$A$34,Products!$C$5:$C$34,""))</x:f>
      </x:c>
      <x:c r="G380" s="19" t="str">
        <x:f>IF($C380="","",XLOOKUP($C380,Products!$A$5:$A$34,Products!$F$5:$F$34,""))</x:f>
      </x:c>
      <x:c r="H380" s="19" t="str">
        <x:f>IF($C380="","",XLOOKUP($C380,Products!$A$5:$A$34,Products!$E$5:$E$34,""))</x:f>
      </x:c>
      <x:c r="I380" s="19" t="str">
        <x:f>IF(OR($C380="",$D380=""),"",($D380*$G380))</x:f>
      </x:c>
      <x:c r="J380" s="18"/>
      <x:c r="K380" s="19" t="str">
        <x:f>IF(OR($C380="",$D380=""),"",$I380-($D380*$H380))</x:f>
      </x:c>
      <x:c r="L380" s="18"/>
      <x:c r="M380" s="18"/>
    </x:row>
    <x:row r="381" ht="15" hidden="0" customHeight="1">
      <x:c r="A381" s="22"/>
      <x:c r="B381" s="18"/>
      <x:c r="C381" s="18"/>
      <x:c r="D381" s="18"/>
      <x:c r="E381" s="18" t="str">
        <x:f>IF($C381="","",XLOOKUP($C381,Products!$A$5:$A$34,Products!$B$5:$B$34,""))</x:f>
      </x:c>
      <x:c r="F381" s="18" t="str">
        <x:f>IF($C381="","",XLOOKUP($C381,Products!$A$5:$A$34,Products!$C$5:$C$34,""))</x:f>
      </x:c>
      <x:c r="G381" s="19" t="str">
        <x:f>IF($C381="","",XLOOKUP($C381,Products!$A$5:$A$34,Products!$F$5:$F$34,""))</x:f>
      </x:c>
      <x:c r="H381" s="19" t="str">
        <x:f>IF($C381="","",XLOOKUP($C381,Products!$A$5:$A$34,Products!$E$5:$E$34,""))</x:f>
      </x:c>
      <x:c r="I381" s="19" t="str">
        <x:f>IF(OR($C381="",$D381=""),"",($D381*$G381))</x:f>
      </x:c>
      <x:c r="J381" s="18"/>
      <x:c r="K381" s="19" t="str">
        <x:f>IF(OR($C381="",$D381=""),"",$I381-($D381*$H381))</x:f>
      </x:c>
      <x:c r="L381" s="18"/>
      <x:c r="M381" s="18"/>
    </x:row>
    <x:row r="382" ht="15" hidden="0" customHeight="1">
      <x:c r="A382" s="22"/>
      <x:c r="B382" s="18"/>
      <x:c r="C382" s="18"/>
      <x:c r="D382" s="18"/>
      <x:c r="E382" s="18" t="str">
        <x:f>IF($C382="","",XLOOKUP($C382,Products!$A$5:$A$34,Products!$B$5:$B$34,""))</x:f>
      </x:c>
      <x:c r="F382" s="18" t="str">
        <x:f>IF($C382="","",XLOOKUP($C382,Products!$A$5:$A$34,Products!$C$5:$C$34,""))</x:f>
      </x:c>
      <x:c r="G382" s="19" t="str">
        <x:f>IF($C382="","",XLOOKUP($C382,Products!$A$5:$A$34,Products!$F$5:$F$34,""))</x:f>
      </x:c>
      <x:c r="H382" s="19" t="str">
        <x:f>IF($C382="","",XLOOKUP($C382,Products!$A$5:$A$34,Products!$E$5:$E$34,""))</x:f>
      </x:c>
      <x:c r="I382" s="19" t="str">
        <x:f>IF(OR($C382="",$D382=""),"",($D382*$G382))</x:f>
      </x:c>
      <x:c r="J382" s="18"/>
      <x:c r="K382" s="19" t="str">
        <x:f>IF(OR($C382="",$D382=""),"",$I382-($D382*$H382))</x:f>
      </x:c>
      <x:c r="L382" s="18"/>
      <x:c r="M382" s="18"/>
    </x:row>
    <x:row r="383" ht="15" hidden="0" customHeight="1">
      <x:c r="A383" s="22"/>
      <x:c r="B383" s="18"/>
      <x:c r="C383" s="18"/>
      <x:c r="D383" s="18"/>
      <x:c r="E383" s="18" t="str">
        <x:f>IF($C383="","",XLOOKUP($C383,Products!$A$5:$A$34,Products!$B$5:$B$34,""))</x:f>
      </x:c>
      <x:c r="F383" s="18" t="str">
        <x:f>IF($C383="","",XLOOKUP($C383,Products!$A$5:$A$34,Products!$C$5:$C$34,""))</x:f>
      </x:c>
      <x:c r="G383" s="19" t="str">
        <x:f>IF($C383="","",XLOOKUP($C383,Products!$A$5:$A$34,Products!$F$5:$F$34,""))</x:f>
      </x:c>
      <x:c r="H383" s="19" t="str">
        <x:f>IF($C383="","",XLOOKUP($C383,Products!$A$5:$A$34,Products!$E$5:$E$34,""))</x:f>
      </x:c>
      <x:c r="I383" s="19" t="str">
        <x:f>IF(OR($C383="",$D383=""),"",($D383*$G383))</x:f>
      </x:c>
      <x:c r="J383" s="18"/>
      <x:c r="K383" s="19" t="str">
        <x:f>IF(OR($C383="",$D383=""),"",$I383-($D383*$H383))</x:f>
      </x:c>
      <x:c r="L383" s="18"/>
      <x:c r="M383" s="18"/>
    </x:row>
    <x:row r="384" ht="15" hidden="0" customHeight="1">
      <x:c r="A384" s="22"/>
      <x:c r="B384" s="18"/>
      <x:c r="C384" s="18"/>
      <x:c r="D384" s="18"/>
      <x:c r="E384" s="18" t="str">
        <x:f>IF($C384="","",XLOOKUP($C384,Products!$A$5:$A$34,Products!$B$5:$B$34,""))</x:f>
      </x:c>
      <x:c r="F384" s="18" t="str">
        <x:f>IF($C384="","",XLOOKUP($C384,Products!$A$5:$A$34,Products!$C$5:$C$34,""))</x:f>
      </x:c>
      <x:c r="G384" s="19" t="str">
        <x:f>IF($C384="","",XLOOKUP($C384,Products!$A$5:$A$34,Products!$F$5:$F$34,""))</x:f>
      </x:c>
      <x:c r="H384" s="19" t="str">
        <x:f>IF($C384="","",XLOOKUP($C384,Products!$A$5:$A$34,Products!$E$5:$E$34,""))</x:f>
      </x:c>
      <x:c r="I384" s="19" t="str">
        <x:f>IF(OR($C384="",$D384=""),"",($D384*$G384))</x:f>
      </x:c>
      <x:c r="J384" s="18"/>
      <x:c r="K384" s="19" t="str">
        <x:f>IF(OR($C384="",$D384=""),"",$I384-($D384*$H384))</x:f>
      </x:c>
      <x:c r="L384" s="18"/>
      <x:c r="M384" s="18"/>
    </x:row>
    <x:row r="385" ht="15" hidden="0" customHeight="1">
      <x:c r="A385" s="22"/>
      <x:c r="B385" s="18"/>
      <x:c r="C385" s="18"/>
      <x:c r="D385" s="18"/>
      <x:c r="E385" s="18" t="str">
        <x:f>IF($C385="","",XLOOKUP($C385,Products!$A$5:$A$34,Products!$B$5:$B$34,""))</x:f>
      </x:c>
      <x:c r="F385" s="18" t="str">
        <x:f>IF($C385="","",XLOOKUP($C385,Products!$A$5:$A$34,Products!$C$5:$C$34,""))</x:f>
      </x:c>
      <x:c r="G385" s="19" t="str">
        <x:f>IF($C385="","",XLOOKUP($C385,Products!$A$5:$A$34,Products!$F$5:$F$34,""))</x:f>
      </x:c>
      <x:c r="H385" s="19" t="str">
        <x:f>IF($C385="","",XLOOKUP($C385,Products!$A$5:$A$34,Products!$E$5:$E$34,""))</x:f>
      </x:c>
      <x:c r="I385" s="19" t="str">
        <x:f>IF(OR($C385="",$D385=""),"",($D385*$G385))</x:f>
      </x:c>
      <x:c r="J385" s="18"/>
      <x:c r="K385" s="19" t="str">
        <x:f>IF(OR($C385="",$D385=""),"",$I385-($D385*$H385))</x:f>
      </x:c>
      <x:c r="L385" s="18"/>
      <x:c r="M385" s="18"/>
    </x:row>
    <x:row r="386" ht="15" hidden="0" customHeight="1">
      <x:c r="A386" s="22"/>
      <x:c r="B386" s="18"/>
      <x:c r="C386" s="18"/>
      <x:c r="D386" s="18"/>
      <x:c r="E386" s="18" t="str">
        <x:f>IF($C386="","",XLOOKUP($C386,Products!$A$5:$A$34,Products!$B$5:$B$34,""))</x:f>
      </x:c>
      <x:c r="F386" s="18" t="str">
        <x:f>IF($C386="","",XLOOKUP($C386,Products!$A$5:$A$34,Products!$C$5:$C$34,""))</x:f>
      </x:c>
      <x:c r="G386" s="19" t="str">
        <x:f>IF($C386="","",XLOOKUP($C386,Products!$A$5:$A$34,Products!$F$5:$F$34,""))</x:f>
      </x:c>
      <x:c r="H386" s="19" t="str">
        <x:f>IF($C386="","",XLOOKUP($C386,Products!$A$5:$A$34,Products!$E$5:$E$34,""))</x:f>
      </x:c>
      <x:c r="I386" s="19" t="str">
        <x:f>IF(OR($C386="",$D386=""),"",($D386*$G386))</x:f>
      </x:c>
      <x:c r="J386" s="18"/>
      <x:c r="K386" s="19" t="str">
        <x:f>IF(OR($C386="",$D386=""),"",$I386-($D386*$H386))</x:f>
      </x:c>
      <x:c r="L386" s="18"/>
      <x:c r="M386" s="18"/>
    </x:row>
    <x:row r="387" ht="15" hidden="0" customHeight="1">
      <x:c r="A387" s="22"/>
      <x:c r="B387" s="18"/>
      <x:c r="C387" s="18"/>
      <x:c r="D387" s="18"/>
      <x:c r="E387" s="18" t="str">
        <x:f>IF($C387="","",XLOOKUP($C387,Products!$A$5:$A$34,Products!$B$5:$B$34,""))</x:f>
      </x:c>
      <x:c r="F387" s="18" t="str">
        <x:f>IF($C387="","",XLOOKUP($C387,Products!$A$5:$A$34,Products!$C$5:$C$34,""))</x:f>
      </x:c>
      <x:c r="G387" s="19" t="str">
        <x:f>IF($C387="","",XLOOKUP($C387,Products!$A$5:$A$34,Products!$F$5:$F$34,""))</x:f>
      </x:c>
      <x:c r="H387" s="19" t="str">
        <x:f>IF($C387="","",XLOOKUP($C387,Products!$A$5:$A$34,Products!$E$5:$E$34,""))</x:f>
      </x:c>
      <x:c r="I387" s="19" t="str">
        <x:f>IF(OR($C387="",$D387=""),"",($D387*$G387))</x:f>
      </x:c>
      <x:c r="J387" s="18"/>
      <x:c r="K387" s="19" t="str">
        <x:f>IF(OR($C387="",$D387=""),"",$I387-($D387*$H387))</x:f>
      </x:c>
      <x:c r="L387" s="18"/>
      <x:c r="M387" s="18"/>
    </x:row>
    <x:row r="388" ht="15" hidden="0" customHeight="1">
      <x:c r="A388" s="22"/>
      <x:c r="B388" s="18"/>
      <x:c r="C388" s="18"/>
      <x:c r="D388" s="18"/>
      <x:c r="E388" s="18" t="str">
        <x:f>IF($C388="","",XLOOKUP($C388,Products!$A$5:$A$34,Products!$B$5:$B$34,""))</x:f>
      </x:c>
      <x:c r="F388" s="18" t="str">
        <x:f>IF($C388="","",XLOOKUP($C388,Products!$A$5:$A$34,Products!$C$5:$C$34,""))</x:f>
      </x:c>
      <x:c r="G388" s="19" t="str">
        <x:f>IF($C388="","",XLOOKUP($C388,Products!$A$5:$A$34,Products!$F$5:$F$34,""))</x:f>
      </x:c>
      <x:c r="H388" s="19" t="str">
        <x:f>IF($C388="","",XLOOKUP($C388,Products!$A$5:$A$34,Products!$E$5:$E$34,""))</x:f>
      </x:c>
      <x:c r="I388" s="19" t="str">
        <x:f>IF(OR($C388="",$D388=""),"",($D388*$G388))</x:f>
      </x:c>
      <x:c r="J388" s="18"/>
      <x:c r="K388" s="19" t="str">
        <x:f>IF(OR($C388="",$D388=""),"",$I388-($D388*$H388))</x:f>
      </x:c>
      <x:c r="L388" s="18"/>
      <x:c r="M388" s="18"/>
    </x:row>
    <x:row r="389" ht="15" hidden="0" customHeight="1">
      <x:c r="A389" s="22"/>
      <x:c r="B389" s="18"/>
      <x:c r="C389" s="18"/>
      <x:c r="D389" s="18"/>
      <x:c r="E389" s="18" t="str">
        <x:f>IF($C389="","",XLOOKUP($C389,Products!$A$5:$A$34,Products!$B$5:$B$34,""))</x:f>
      </x:c>
      <x:c r="F389" s="18" t="str">
        <x:f>IF($C389="","",XLOOKUP($C389,Products!$A$5:$A$34,Products!$C$5:$C$34,""))</x:f>
      </x:c>
      <x:c r="G389" s="19" t="str">
        <x:f>IF($C389="","",XLOOKUP($C389,Products!$A$5:$A$34,Products!$F$5:$F$34,""))</x:f>
      </x:c>
      <x:c r="H389" s="19" t="str">
        <x:f>IF($C389="","",XLOOKUP($C389,Products!$A$5:$A$34,Products!$E$5:$E$34,""))</x:f>
      </x:c>
      <x:c r="I389" s="19" t="str">
        <x:f>IF(OR($C389="",$D389=""),"",($D389*$G389))</x:f>
      </x:c>
      <x:c r="J389" s="18"/>
      <x:c r="K389" s="19" t="str">
        <x:f>IF(OR($C389="",$D389=""),"",$I389-($D389*$H389))</x:f>
      </x:c>
      <x:c r="L389" s="18"/>
      <x:c r="M389" s="18"/>
    </x:row>
    <x:row r="390" ht="15" hidden="0" customHeight="1">
      <x:c r="A390" s="22"/>
      <x:c r="B390" s="18"/>
      <x:c r="C390" s="18"/>
      <x:c r="D390" s="18"/>
      <x:c r="E390" s="18" t="str">
        <x:f>IF($C390="","",XLOOKUP($C390,Products!$A$5:$A$34,Products!$B$5:$B$34,""))</x:f>
      </x:c>
      <x:c r="F390" s="18" t="str">
        <x:f>IF($C390="","",XLOOKUP($C390,Products!$A$5:$A$34,Products!$C$5:$C$34,""))</x:f>
      </x:c>
      <x:c r="G390" s="19" t="str">
        <x:f>IF($C390="","",XLOOKUP($C390,Products!$A$5:$A$34,Products!$F$5:$F$34,""))</x:f>
      </x:c>
      <x:c r="H390" s="19" t="str">
        <x:f>IF($C390="","",XLOOKUP($C390,Products!$A$5:$A$34,Products!$E$5:$E$34,""))</x:f>
      </x:c>
      <x:c r="I390" s="19" t="str">
        <x:f>IF(OR($C390="",$D390=""),"",($D390*$G390))</x:f>
      </x:c>
      <x:c r="J390" s="18"/>
      <x:c r="K390" s="19" t="str">
        <x:f>IF(OR($C390="",$D390=""),"",$I390-($D390*$H390))</x:f>
      </x:c>
      <x:c r="L390" s="18"/>
      <x:c r="M390" s="18"/>
    </x:row>
    <x:row r="391" ht="15" hidden="0" customHeight="1">
      <x:c r="A391" s="22"/>
      <x:c r="B391" s="18"/>
      <x:c r="C391" s="18"/>
      <x:c r="D391" s="18"/>
      <x:c r="E391" s="18" t="str">
        <x:f>IF($C391="","",XLOOKUP($C391,Products!$A$5:$A$34,Products!$B$5:$B$34,""))</x:f>
      </x:c>
      <x:c r="F391" s="18" t="str">
        <x:f>IF($C391="","",XLOOKUP($C391,Products!$A$5:$A$34,Products!$C$5:$C$34,""))</x:f>
      </x:c>
      <x:c r="G391" s="19" t="str">
        <x:f>IF($C391="","",XLOOKUP($C391,Products!$A$5:$A$34,Products!$F$5:$F$34,""))</x:f>
      </x:c>
      <x:c r="H391" s="19" t="str">
        <x:f>IF($C391="","",XLOOKUP($C391,Products!$A$5:$A$34,Products!$E$5:$E$34,""))</x:f>
      </x:c>
      <x:c r="I391" s="19" t="str">
        <x:f>IF(OR($C391="",$D391=""),"",($D391*$G391))</x:f>
      </x:c>
      <x:c r="J391" s="18"/>
      <x:c r="K391" s="19" t="str">
        <x:f>IF(OR($C391="",$D391=""),"",$I391-($D391*$H391))</x:f>
      </x:c>
      <x:c r="L391" s="18"/>
      <x:c r="M391" s="18"/>
    </x:row>
    <x:row r="392" ht="15" hidden="0" customHeight="1">
      <x:c r="A392" s="22"/>
      <x:c r="B392" s="18"/>
      <x:c r="C392" s="18"/>
      <x:c r="D392" s="18"/>
      <x:c r="E392" s="18" t="str">
        <x:f>IF($C392="","",XLOOKUP($C392,Products!$A$5:$A$34,Products!$B$5:$B$34,""))</x:f>
      </x:c>
      <x:c r="F392" s="18" t="str">
        <x:f>IF($C392="","",XLOOKUP($C392,Products!$A$5:$A$34,Products!$C$5:$C$34,""))</x:f>
      </x:c>
      <x:c r="G392" s="19" t="str">
        <x:f>IF($C392="","",XLOOKUP($C392,Products!$A$5:$A$34,Products!$F$5:$F$34,""))</x:f>
      </x:c>
      <x:c r="H392" s="19" t="str">
        <x:f>IF($C392="","",XLOOKUP($C392,Products!$A$5:$A$34,Products!$E$5:$E$34,""))</x:f>
      </x:c>
      <x:c r="I392" s="19" t="str">
        <x:f>IF(OR($C392="",$D392=""),"",($D392*$G392))</x:f>
      </x:c>
      <x:c r="J392" s="18"/>
      <x:c r="K392" s="19" t="str">
        <x:f>IF(OR($C392="",$D392=""),"",$I392-($D392*$H392))</x:f>
      </x:c>
      <x:c r="L392" s="18"/>
      <x:c r="M392" s="18"/>
    </x:row>
    <x:row r="393" ht="15" hidden="0" customHeight="1">
      <x:c r="A393" s="22"/>
      <x:c r="B393" s="18"/>
      <x:c r="C393" s="18"/>
      <x:c r="D393" s="18"/>
      <x:c r="E393" s="18" t="str">
        <x:f>IF($C393="","",XLOOKUP($C393,Products!$A$5:$A$34,Products!$B$5:$B$34,""))</x:f>
      </x:c>
      <x:c r="F393" s="18" t="str">
        <x:f>IF($C393="","",XLOOKUP($C393,Products!$A$5:$A$34,Products!$C$5:$C$34,""))</x:f>
      </x:c>
      <x:c r="G393" s="19" t="str">
        <x:f>IF($C393="","",XLOOKUP($C393,Products!$A$5:$A$34,Products!$F$5:$F$34,""))</x:f>
      </x:c>
      <x:c r="H393" s="19" t="str">
        <x:f>IF($C393="","",XLOOKUP($C393,Products!$A$5:$A$34,Products!$E$5:$E$34,""))</x:f>
      </x:c>
      <x:c r="I393" s="19" t="str">
        <x:f>IF(OR($C393="",$D393=""),"",($D393*$G393))</x:f>
      </x:c>
      <x:c r="J393" s="18"/>
      <x:c r="K393" s="19" t="str">
        <x:f>IF(OR($C393="",$D393=""),"",$I393-($D393*$H393))</x:f>
      </x:c>
      <x:c r="L393" s="18"/>
      <x:c r="M393" s="18"/>
    </x:row>
    <x:row r="394" ht="15" hidden="0" customHeight="1">
      <x:c r="A394" s="22"/>
      <x:c r="B394" s="18"/>
      <x:c r="C394" s="18"/>
      <x:c r="D394" s="18"/>
      <x:c r="E394" s="18" t="str">
        <x:f>IF($C394="","",XLOOKUP($C394,Products!$A$5:$A$34,Products!$B$5:$B$34,""))</x:f>
      </x:c>
      <x:c r="F394" s="18" t="str">
        <x:f>IF($C394="","",XLOOKUP($C394,Products!$A$5:$A$34,Products!$C$5:$C$34,""))</x:f>
      </x:c>
      <x:c r="G394" s="19" t="str">
        <x:f>IF($C394="","",XLOOKUP($C394,Products!$A$5:$A$34,Products!$F$5:$F$34,""))</x:f>
      </x:c>
      <x:c r="H394" s="19" t="str">
        <x:f>IF($C394="","",XLOOKUP($C394,Products!$A$5:$A$34,Products!$E$5:$E$34,""))</x:f>
      </x:c>
      <x:c r="I394" s="19" t="str">
        <x:f>IF(OR($C394="",$D394=""),"",($D394*$G394))</x:f>
      </x:c>
      <x:c r="J394" s="18"/>
      <x:c r="K394" s="19" t="str">
        <x:f>IF(OR($C394="",$D394=""),"",$I394-($D394*$H394))</x:f>
      </x:c>
      <x:c r="L394" s="18"/>
      <x:c r="M394" s="18"/>
    </x:row>
    <x:row r="395" ht="15" hidden="0" customHeight="1">
      <x:c r="A395" s="22"/>
      <x:c r="B395" s="18"/>
      <x:c r="C395" s="18"/>
      <x:c r="D395" s="18"/>
      <x:c r="E395" s="18" t="str">
        <x:f>IF($C395="","",XLOOKUP($C395,Products!$A$5:$A$34,Products!$B$5:$B$34,""))</x:f>
      </x:c>
      <x:c r="F395" s="18" t="str">
        <x:f>IF($C395="","",XLOOKUP($C395,Products!$A$5:$A$34,Products!$C$5:$C$34,""))</x:f>
      </x:c>
      <x:c r="G395" s="19" t="str">
        <x:f>IF($C395="","",XLOOKUP($C395,Products!$A$5:$A$34,Products!$F$5:$F$34,""))</x:f>
      </x:c>
      <x:c r="H395" s="19" t="str">
        <x:f>IF($C395="","",XLOOKUP($C395,Products!$A$5:$A$34,Products!$E$5:$E$34,""))</x:f>
      </x:c>
      <x:c r="I395" s="19" t="str">
        <x:f>IF(OR($C395="",$D395=""),"",($D395*$G395))</x:f>
      </x:c>
      <x:c r="J395" s="18"/>
      <x:c r="K395" s="19" t="str">
        <x:f>IF(OR($C395="",$D395=""),"",$I395-($D395*$H395))</x:f>
      </x:c>
      <x:c r="L395" s="18"/>
      <x:c r="M395" s="18"/>
    </x:row>
    <x:row r="396" ht="15" hidden="0" customHeight="1">
      <x:c r="A396" s="22"/>
      <x:c r="B396" s="18"/>
      <x:c r="C396" s="18"/>
      <x:c r="D396" s="18"/>
      <x:c r="E396" s="18" t="str">
        <x:f>IF($C396="","",XLOOKUP($C396,Products!$A$5:$A$34,Products!$B$5:$B$34,""))</x:f>
      </x:c>
      <x:c r="F396" s="18" t="str">
        <x:f>IF($C396="","",XLOOKUP($C396,Products!$A$5:$A$34,Products!$C$5:$C$34,""))</x:f>
      </x:c>
      <x:c r="G396" s="19" t="str">
        <x:f>IF($C396="","",XLOOKUP($C396,Products!$A$5:$A$34,Products!$F$5:$F$34,""))</x:f>
      </x:c>
      <x:c r="H396" s="19" t="str">
        <x:f>IF($C396="","",XLOOKUP($C396,Products!$A$5:$A$34,Products!$E$5:$E$34,""))</x:f>
      </x:c>
      <x:c r="I396" s="19" t="str">
        <x:f>IF(OR($C396="",$D396=""),"",($D396*$G396))</x:f>
      </x:c>
      <x:c r="J396" s="18"/>
      <x:c r="K396" s="19" t="str">
        <x:f>IF(OR($C396="",$D396=""),"",$I396-($D396*$H396))</x:f>
      </x:c>
      <x:c r="L396" s="18"/>
      <x:c r="M396" s="18"/>
    </x:row>
    <x:row r="397" ht="15" hidden="0" customHeight="1">
      <x:c r="A397" s="22"/>
      <x:c r="B397" s="18"/>
      <x:c r="C397" s="18"/>
      <x:c r="D397" s="18"/>
      <x:c r="E397" s="18" t="str">
        <x:f>IF($C397="","",XLOOKUP($C397,Products!$A$5:$A$34,Products!$B$5:$B$34,""))</x:f>
      </x:c>
      <x:c r="F397" s="18" t="str">
        <x:f>IF($C397="","",XLOOKUP($C397,Products!$A$5:$A$34,Products!$C$5:$C$34,""))</x:f>
      </x:c>
      <x:c r="G397" s="19" t="str">
        <x:f>IF($C397="","",XLOOKUP($C397,Products!$A$5:$A$34,Products!$F$5:$F$34,""))</x:f>
      </x:c>
      <x:c r="H397" s="19" t="str">
        <x:f>IF($C397="","",XLOOKUP($C397,Products!$A$5:$A$34,Products!$E$5:$E$34,""))</x:f>
      </x:c>
      <x:c r="I397" s="19" t="str">
        <x:f>IF(OR($C397="",$D397=""),"",($D397*$G397))</x:f>
      </x:c>
      <x:c r="J397" s="18"/>
      <x:c r="K397" s="19" t="str">
        <x:f>IF(OR($C397="",$D397=""),"",$I397-($D397*$H397))</x:f>
      </x:c>
      <x:c r="L397" s="18"/>
      <x:c r="M397" s="18"/>
    </x:row>
    <x:row r="398" ht="15" hidden="0" customHeight="1">
      <x:c r="A398" s="22"/>
      <x:c r="B398" s="18"/>
      <x:c r="C398" s="18"/>
      <x:c r="D398" s="18"/>
      <x:c r="E398" s="18" t="str">
        <x:f>IF($C398="","",XLOOKUP($C398,Products!$A$5:$A$34,Products!$B$5:$B$34,""))</x:f>
      </x:c>
      <x:c r="F398" s="18" t="str">
        <x:f>IF($C398="","",XLOOKUP($C398,Products!$A$5:$A$34,Products!$C$5:$C$34,""))</x:f>
      </x:c>
      <x:c r="G398" s="19" t="str">
        <x:f>IF($C398="","",XLOOKUP($C398,Products!$A$5:$A$34,Products!$F$5:$F$34,""))</x:f>
      </x:c>
      <x:c r="H398" s="19" t="str">
        <x:f>IF($C398="","",XLOOKUP($C398,Products!$A$5:$A$34,Products!$E$5:$E$34,""))</x:f>
      </x:c>
      <x:c r="I398" s="19" t="str">
        <x:f>IF(OR($C398="",$D398=""),"",($D398*$G398))</x:f>
      </x:c>
      <x:c r="J398" s="18"/>
      <x:c r="K398" s="19" t="str">
        <x:f>IF(OR($C398="",$D398=""),"",$I398-($D398*$H398))</x:f>
      </x:c>
      <x:c r="L398" s="18"/>
      <x:c r="M398" s="18"/>
    </x:row>
    <x:row r="399" ht="15" hidden="0" customHeight="1">
      <x:c r="A399" s="22"/>
      <x:c r="B399" s="18"/>
      <x:c r="C399" s="18"/>
      <x:c r="D399" s="18"/>
      <x:c r="E399" s="18" t="str">
        <x:f>IF($C399="","",XLOOKUP($C399,Products!$A$5:$A$34,Products!$B$5:$B$34,""))</x:f>
      </x:c>
      <x:c r="F399" s="18" t="str">
        <x:f>IF($C399="","",XLOOKUP($C399,Products!$A$5:$A$34,Products!$C$5:$C$34,""))</x:f>
      </x:c>
      <x:c r="G399" s="19" t="str">
        <x:f>IF($C399="","",XLOOKUP($C399,Products!$A$5:$A$34,Products!$F$5:$F$34,""))</x:f>
      </x:c>
      <x:c r="H399" s="19" t="str">
        <x:f>IF($C399="","",XLOOKUP($C399,Products!$A$5:$A$34,Products!$E$5:$E$34,""))</x:f>
      </x:c>
      <x:c r="I399" s="19" t="str">
        <x:f>IF(OR($C399="",$D399=""),"",($D399*$G399))</x:f>
      </x:c>
      <x:c r="J399" s="18"/>
      <x:c r="K399" s="19" t="str">
        <x:f>IF(OR($C399="",$D399=""),"",$I399-($D399*$H399))</x:f>
      </x:c>
      <x:c r="L399" s="18"/>
      <x:c r="M399" s="18"/>
    </x:row>
    <x:row r="400" ht="15" hidden="0" customHeight="1">
      <x:c r="A400" s="22"/>
      <x:c r="B400" s="18"/>
      <x:c r="C400" s="18"/>
      <x:c r="D400" s="18"/>
      <x:c r="E400" s="18" t="str">
        <x:f>IF($C400="","",XLOOKUP($C400,Products!$A$5:$A$34,Products!$B$5:$B$34,""))</x:f>
      </x:c>
      <x:c r="F400" s="18" t="str">
        <x:f>IF($C400="","",XLOOKUP($C400,Products!$A$5:$A$34,Products!$C$5:$C$34,""))</x:f>
      </x:c>
      <x:c r="G400" s="19" t="str">
        <x:f>IF($C400="","",XLOOKUP($C400,Products!$A$5:$A$34,Products!$F$5:$F$34,""))</x:f>
      </x:c>
      <x:c r="H400" s="19" t="str">
        <x:f>IF($C400="","",XLOOKUP($C400,Products!$A$5:$A$34,Products!$E$5:$E$34,""))</x:f>
      </x:c>
      <x:c r="I400" s="19" t="str">
        <x:f>IF(OR($C400="",$D400=""),"",($D400*$G400))</x:f>
      </x:c>
      <x:c r="J400" s="18"/>
      <x:c r="K400" s="19" t="str">
        <x:f>IF(OR($C400="",$D400=""),"",$I400-($D400*$H400))</x:f>
      </x:c>
      <x:c r="L400" s="18"/>
      <x:c r="M400" s="18"/>
    </x:row>
    <x:row r="401" ht="15" hidden="0" customHeight="1">
      <x:c r="A401" s="22"/>
      <x:c r="B401" s="18"/>
      <x:c r="C401" s="18"/>
      <x:c r="D401" s="18"/>
      <x:c r="E401" s="18" t="str">
        <x:f>IF($C401="","",XLOOKUP($C401,Products!$A$5:$A$34,Products!$B$5:$B$34,""))</x:f>
      </x:c>
      <x:c r="F401" s="18" t="str">
        <x:f>IF($C401="","",XLOOKUP($C401,Products!$A$5:$A$34,Products!$C$5:$C$34,""))</x:f>
      </x:c>
      <x:c r="G401" s="19" t="str">
        <x:f>IF($C401="","",XLOOKUP($C401,Products!$A$5:$A$34,Products!$F$5:$F$34,""))</x:f>
      </x:c>
      <x:c r="H401" s="19" t="str">
        <x:f>IF($C401="","",XLOOKUP($C401,Products!$A$5:$A$34,Products!$E$5:$E$34,""))</x:f>
      </x:c>
      <x:c r="I401" s="19" t="str">
        <x:f>IF(OR($C401="",$D401=""),"",($D401*$G401))</x:f>
      </x:c>
      <x:c r="J401" s="18"/>
      <x:c r="K401" s="19" t="str">
        <x:f>IF(OR($C401="",$D401=""),"",$I401-($D401*$H401))</x:f>
      </x:c>
      <x:c r="L401" s="18"/>
      <x:c r="M401" s="18"/>
    </x:row>
    <x:row r="402" ht="15" hidden="0" customHeight="1">
      <x:c r="A402" s="22"/>
      <x:c r="B402" s="18"/>
      <x:c r="C402" s="18"/>
      <x:c r="D402" s="18"/>
      <x:c r="E402" s="18" t="str">
        <x:f>IF($C402="","",XLOOKUP($C402,Products!$A$5:$A$34,Products!$B$5:$B$34,""))</x:f>
      </x:c>
      <x:c r="F402" s="18" t="str">
        <x:f>IF($C402="","",XLOOKUP($C402,Products!$A$5:$A$34,Products!$C$5:$C$34,""))</x:f>
      </x:c>
      <x:c r="G402" s="19" t="str">
        <x:f>IF($C402="","",XLOOKUP($C402,Products!$A$5:$A$34,Products!$F$5:$F$34,""))</x:f>
      </x:c>
      <x:c r="H402" s="19" t="str">
        <x:f>IF($C402="","",XLOOKUP($C402,Products!$A$5:$A$34,Products!$E$5:$E$34,""))</x:f>
      </x:c>
      <x:c r="I402" s="19" t="str">
        <x:f>IF(OR($C402="",$D402=""),"",($D402*$G402))</x:f>
      </x:c>
      <x:c r="J402" s="18"/>
      <x:c r="K402" s="19" t="str">
        <x:f>IF(OR($C402="",$D402=""),"",$I402-($D402*$H402))</x:f>
      </x:c>
      <x:c r="L402" s="18"/>
      <x:c r="M402" s="18"/>
    </x:row>
    <x:row r="403" ht="15" hidden="0" customHeight="1">
      <x:c r="A403" s="22"/>
      <x:c r="B403" s="18"/>
      <x:c r="C403" s="18"/>
      <x:c r="D403" s="18"/>
      <x:c r="E403" s="18" t="str">
        <x:f>IF($C403="","",XLOOKUP($C403,Products!$A$5:$A$34,Products!$B$5:$B$34,""))</x:f>
      </x:c>
      <x:c r="F403" s="18" t="str">
        <x:f>IF($C403="","",XLOOKUP($C403,Products!$A$5:$A$34,Products!$C$5:$C$34,""))</x:f>
      </x:c>
      <x:c r="G403" s="19" t="str">
        <x:f>IF($C403="","",XLOOKUP($C403,Products!$A$5:$A$34,Products!$F$5:$F$34,""))</x:f>
      </x:c>
      <x:c r="H403" s="19" t="str">
        <x:f>IF($C403="","",XLOOKUP($C403,Products!$A$5:$A$34,Products!$E$5:$E$34,""))</x:f>
      </x:c>
      <x:c r="I403" s="19" t="str">
        <x:f>IF(OR($C403="",$D403=""),"",($D403*$G403))</x:f>
      </x:c>
      <x:c r="J403" s="18"/>
      <x:c r="K403" s="19" t="str">
        <x:f>IF(OR($C403="",$D403=""),"",$I403-($D403*$H403))</x:f>
      </x:c>
      <x:c r="L403" s="18"/>
      <x:c r="M403" s="18"/>
    </x:row>
    <x:row r="404" ht="15" hidden="0" customHeight="1">
      <x:c r="A404" s="22"/>
      <x:c r="B404" s="18"/>
      <x:c r="C404" s="18"/>
      <x:c r="D404" s="18"/>
      <x:c r="E404" s="18" t="str">
        <x:f>IF($C404="","",XLOOKUP($C404,Products!$A$5:$A$34,Products!$B$5:$B$34,""))</x:f>
      </x:c>
      <x:c r="F404" s="18" t="str">
        <x:f>IF($C404="","",XLOOKUP($C404,Products!$A$5:$A$34,Products!$C$5:$C$34,""))</x:f>
      </x:c>
      <x:c r="G404" s="19" t="str">
        <x:f>IF($C404="","",XLOOKUP($C404,Products!$A$5:$A$34,Products!$F$5:$F$34,""))</x:f>
      </x:c>
      <x:c r="H404" s="19" t="str">
        <x:f>IF($C404="","",XLOOKUP($C404,Products!$A$5:$A$34,Products!$E$5:$E$34,""))</x:f>
      </x:c>
      <x:c r="I404" s="19" t="str">
        <x:f>IF(OR($C404="",$D404=""),"",($D404*$G404))</x:f>
      </x:c>
      <x:c r="J404" s="18"/>
      <x:c r="K404" s="19" t="str">
        <x:f>IF(OR($C404="",$D404=""),"",$I404-($D404*$H404))</x:f>
      </x:c>
      <x:c r="L404" s="18"/>
      <x:c r="M404" s="18"/>
    </x:row>
    <x:row r="405" ht="15" hidden="0" customHeight="1">
      <x:c r="A405" s="22"/>
      <x:c r="B405" s="18"/>
      <x:c r="C405" s="18"/>
      <x:c r="D405" s="18"/>
      <x:c r="E405" s="18" t="str">
        <x:f>IF($C405="","",XLOOKUP($C405,Products!$A$5:$A$34,Products!$B$5:$B$34,""))</x:f>
      </x:c>
      <x:c r="F405" s="18" t="str">
        <x:f>IF($C405="","",XLOOKUP($C405,Products!$A$5:$A$34,Products!$C$5:$C$34,""))</x:f>
      </x:c>
      <x:c r="G405" s="19" t="str">
        <x:f>IF($C405="","",XLOOKUP($C405,Products!$A$5:$A$34,Products!$F$5:$F$34,""))</x:f>
      </x:c>
      <x:c r="H405" s="19" t="str">
        <x:f>IF($C405="","",XLOOKUP($C405,Products!$A$5:$A$34,Products!$E$5:$E$34,""))</x:f>
      </x:c>
      <x:c r="I405" s="19" t="str">
        <x:f>IF(OR($C405="",$D405=""),"",($D405*$G405))</x:f>
      </x:c>
      <x:c r="J405" s="18"/>
      <x:c r="K405" s="19" t="str">
        <x:f>IF(OR($C405="",$D405=""),"",$I405-($D405*$H405))</x:f>
      </x:c>
      <x:c r="L405" s="18"/>
      <x:c r="M405" s="18"/>
    </x:row>
    <x:row r="406" ht="15" hidden="0" customHeight="1">
      <x:c r="A406" s="22"/>
      <x:c r="B406" s="18"/>
      <x:c r="C406" s="18"/>
      <x:c r="D406" s="18"/>
      <x:c r="E406" s="18" t="str">
        <x:f>IF($C406="","",XLOOKUP($C406,Products!$A$5:$A$34,Products!$B$5:$B$34,""))</x:f>
      </x:c>
      <x:c r="F406" s="18" t="str">
        <x:f>IF($C406="","",XLOOKUP($C406,Products!$A$5:$A$34,Products!$C$5:$C$34,""))</x:f>
      </x:c>
      <x:c r="G406" s="19" t="str">
        <x:f>IF($C406="","",XLOOKUP($C406,Products!$A$5:$A$34,Products!$F$5:$F$34,""))</x:f>
      </x:c>
      <x:c r="H406" s="19" t="str">
        <x:f>IF($C406="","",XLOOKUP($C406,Products!$A$5:$A$34,Products!$E$5:$E$34,""))</x:f>
      </x:c>
      <x:c r="I406" s="19" t="str">
        <x:f>IF(OR($C406="",$D406=""),"",($D406*$G406))</x:f>
      </x:c>
      <x:c r="J406" s="18"/>
      <x:c r="K406" s="19" t="str">
        <x:f>IF(OR($C406="",$D406=""),"",$I406-($D406*$H406))</x:f>
      </x:c>
      <x:c r="L406" s="18"/>
      <x:c r="M406" s="18"/>
    </x:row>
    <x:row r="407" ht="15" hidden="0" customHeight="1">
      <x:c r="A407" s="22"/>
      <x:c r="B407" s="18"/>
      <x:c r="C407" s="18"/>
      <x:c r="D407" s="18"/>
      <x:c r="E407" s="18" t="str">
        <x:f>IF($C407="","",XLOOKUP($C407,Products!$A$5:$A$34,Products!$B$5:$B$34,""))</x:f>
      </x:c>
      <x:c r="F407" s="18" t="str">
        <x:f>IF($C407="","",XLOOKUP($C407,Products!$A$5:$A$34,Products!$C$5:$C$34,""))</x:f>
      </x:c>
      <x:c r="G407" s="19" t="str">
        <x:f>IF($C407="","",XLOOKUP($C407,Products!$A$5:$A$34,Products!$F$5:$F$34,""))</x:f>
      </x:c>
      <x:c r="H407" s="19" t="str">
        <x:f>IF($C407="","",XLOOKUP($C407,Products!$A$5:$A$34,Products!$E$5:$E$34,""))</x:f>
      </x:c>
      <x:c r="I407" s="19" t="str">
        <x:f>IF(OR($C407="",$D407=""),"",($D407*$G407))</x:f>
      </x:c>
      <x:c r="J407" s="18"/>
      <x:c r="K407" s="19" t="str">
        <x:f>IF(OR($C407="",$D407=""),"",$I407-($D407*$H407))</x:f>
      </x:c>
      <x:c r="L407" s="18"/>
      <x:c r="M407" s="18"/>
    </x:row>
    <x:row r="408" ht="15" hidden="0" customHeight="1">
      <x:c r="A408" s="22"/>
      <x:c r="B408" s="18"/>
      <x:c r="C408" s="18"/>
      <x:c r="D408" s="18"/>
      <x:c r="E408" s="18" t="str">
        <x:f>IF($C408="","",XLOOKUP($C408,Products!$A$5:$A$34,Products!$B$5:$B$34,""))</x:f>
      </x:c>
      <x:c r="F408" s="18" t="str">
        <x:f>IF($C408="","",XLOOKUP($C408,Products!$A$5:$A$34,Products!$C$5:$C$34,""))</x:f>
      </x:c>
      <x:c r="G408" s="19" t="str">
        <x:f>IF($C408="","",XLOOKUP($C408,Products!$A$5:$A$34,Products!$F$5:$F$34,""))</x:f>
      </x:c>
      <x:c r="H408" s="19" t="str">
        <x:f>IF($C408="","",XLOOKUP($C408,Products!$A$5:$A$34,Products!$E$5:$E$34,""))</x:f>
      </x:c>
      <x:c r="I408" s="19" t="str">
        <x:f>IF(OR($C408="",$D408=""),"",($D408*$G408))</x:f>
      </x:c>
      <x:c r="J408" s="18"/>
      <x:c r="K408" s="19" t="str">
        <x:f>IF(OR($C408="",$D408=""),"",$I408-($D408*$H408))</x:f>
      </x:c>
      <x:c r="L408" s="18"/>
      <x:c r="M408" s="18"/>
    </x:row>
    <x:row r="409" ht="15" hidden="0" customHeight="1">
      <x:c r="A409" s="22"/>
      <x:c r="B409" s="18"/>
      <x:c r="C409" s="18"/>
      <x:c r="D409" s="18"/>
      <x:c r="E409" s="18" t="str">
        <x:f>IF($C409="","",XLOOKUP($C409,Products!$A$5:$A$34,Products!$B$5:$B$34,""))</x:f>
      </x:c>
      <x:c r="F409" s="18" t="str">
        <x:f>IF($C409="","",XLOOKUP($C409,Products!$A$5:$A$34,Products!$C$5:$C$34,""))</x:f>
      </x:c>
      <x:c r="G409" s="19" t="str">
        <x:f>IF($C409="","",XLOOKUP($C409,Products!$A$5:$A$34,Products!$F$5:$F$34,""))</x:f>
      </x:c>
      <x:c r="H409" s="19" t="str">
        <x:f>IF($C409="","",XLOOKUP($C409,Products!$A$5:$A$34,Products!$E$5:$E$34,""))</x:f>
      </x:c>
      <x:c r="I409" s="19" t="str">
        <x:f>IF(OR($C409="",$D409=""),"",($D409*$G409))</x:f>
      </x:c>
      <x:c r="J409" s="18"/>
      <x:c r="K409" s="19" t="str">
        <x:f>IF(OR($C409="",$D409=""),"",$I409-($D409*$H409))</x:f>
      </x:c>
      <x:c r="L409" s="18"/>
      <x:c r="M409" s="18"/>
    </x:row>
    <x:row r="410" ht="15" hidden="0" customHeight="1">
      <x:c r="A410" s="22"/>
      <x:c r="B410" s="18"/>
      <x:c r="C410" s="18"/>
      <x:c r="D410" s="18"/>
      <x:c r="E410" s="18" t="str">
        <x:f>IF($C410="","",XLOOKUP($C410,Products!$A$5:$A$34,Products!$B$5:$B$34,""))</x:f>
      </x:c>
      <x:c r="F410" s="18" t="str">
        <x:f>IF($C410="","",XLOOKUP($C410,Products!$A$5:$A$34,Products!$C$5:$C$34,""))</x:f>
      </x:c>
      <x:c r="G410" s="19" t="str">
        <x:f>IF($C410="","",XLOOKUP($C410,Products!$A$5:$A$34,Products!$F$5:$F$34,""))</x:f>
      </x:c>
      <x:c r="H410" s="19" t="str">
        <x:f>IF($C410="","",XLOOKUP($C410,Products!$A$5:$A$34,Products!$E$5:$E$34,""))</x:f>
      </x:c>
      <x:c r="I410" s="19" t="str">
        <x:f>IF(OR($C410="",$D410=""),"",($D410*$G410))</x:f>
      </x:c>
      <x:c r="J410" s="18"/>
      <x:c r="K410" s="19" t="str">
        <x:f>IF(OR($C410="",$D410=""),"",$I410-($D410*$H410))</x:f>
      </x:c>
      <x:c r="L410" s="18"/>
      <x:c r="M410" s="18"/>
    </x:row>
    <x:row r="411" ht="15" hidden="0" customHeight="1">
      <x:c r="A411" s="22"/>
      <x:c r="B411" s="18"/>
      <x:c r="C411" s="18"/>
      <x:c r="D411" s="18"/>
      <x:c r="E411" s="18" t="str">
        <x:f>IF($C411="","",XLOOKUP($C411,Products!$A$5:$A$34,Products!$B$5:$B$34,""))</x:f>
      </x:c>
      <x:c r="F411" s="18" t="str">
        <x:f>IF($C411="","",XLOOKUP($C411,Products!$A$5:$A$34,Products!$C$5:$C$34,""))</x:f>
      </x:c>
      <x:c r="G411" s="19" t="str">
        <x:f>IF($C411="","",XLOOKUP($C411,Products!$A$5:$A$34,Products!$F$5:$F$34,""))</x:f>
      </x:c>
      <x:c r="H411" s="19" t="str">
        <x:f>IF($C411="","",XLOOKUP($C411,Products!$A$5:$A$34,Products!$E$5:$E$34,""))</x:f>
      </x:c>
      <x:c r="I411" s="19" t="str">
        <x:f>IF(OR($C411="",$D411=""),"",($D411*$G411))</x:f>
      </x:c>
      <x:c r="J411" s="18"/>
      <x:c r="K411" s="19" t="str">
        <x:f>IF(OR($C411="",$D411=""),"",$I411-($D411*$H411))</x:f>
      </x:c>
      <x:c r="L411" s="18"/>
      <x:c r="M411" s="18"/>
    </x:row>
    <x:row r="412" ht="15" hidden="0" customHeight="1">
      <x:c r="A412" s="22"/>
      <x:c r="B412" s="18"/>
      <x:c r="C412" s="18"/>
      <x:c r="D412" s="18"/>
      <x:c r="E412" s="18" t="str">
        <x:f>IF($C412="","",XLOOKUP($C412,Products!$A$5:$A$34,Products!$B$5:$B$34,""))</x:f>
      </x:c>
      <x:c r="F412" s="18" t="str">
        <x:f>IF($C412="","",XLOOKUP($C412,Products!$A$5:$A$34,Products!$C$5:$C$34,""))</x:f>
      </x:c>
      <x:c r="G412" s="19" t="str">
        <x:f>IF($C412="","",XLOOKUP($C412,Products!$A$5:$A$34,Products!$F$5:$F$34,""))</x:f>
      </x:c>
      <x:c r="H412" s="19" t="str">
        <x:f>IF($C412="","",XLOOKUP($C412,Products!$A$5:$A$34,Products!$E$5:$E$34,""))</x:f>
      </x:c>
      <x:c r="I412" s="19" t="str">
        <x:f>IF(OR($C412="",$D412=""),"",($D412*$G412))</x:f>
      </x:c>
      <x:c r="J412" s="18"/>
      <x:c r="K412" s="19" t="str">
        <x:f>IF(OR($C412="",$D412=""),"",$I412-($D412*$H412))</x:f>
      </x:c>
      <x:c r="L412" s="18"/>
      <x:c r="M412" s="18"/>
    </x:row>
    <x:row r="413" ht="15" hidden="0" customHeight="1">
      <x:c r="A413" s="22"/>
      <x:c r="B413" s="18"/>
      <x:c r="C413" s="18"/>
      <x:c r="D413" s="18"/>
      <x:c r="E413" s="18" t="str">
        <x:f>IF($C413="","",XLOOKUP($C413,Products!$A$5:$A$34,Products!$B$5:$B$34,""))</x:f>
      </x:c>
      <x:c r="F413" s="18" t="str">
        <x:f>IF($C413="","",XLOOKUP($C413,Products!$A$5:$A$34,Products!$C$5:$C$34,""))</x:f>
      </x:c>
      <x:c r="G413" s="19" t="str">
        <x:f>IF($C413="","",XLOOKUP($C413,Products!$A$5:$A$34,Products!$F$5:$F$34,""))</x:f>
      </x:c>
      <x:c r="H413" s="19" t="str">
        <x:f>IF($C413="","",XLOOKUP($C413,Products!$A$5:$A$34,Products!$E$5:$E$34,""))</x:f>
      </x:c>
      <x:c r="I413" s="19" t="str">
        <x:f>IF(OR($C413="",$D413=""),"",($D413*$G413))</x:f>
      </x:c>
      <x:c r="J413" s="18"/>
      <x:c r="K413" s="19" t="str">
        <x:f>IF(OR($C413="",$D413=""),"",$I413-($D413*$H413))</x:f>
      </x:c>
      <x:c r="L413" s="18"/>
      <x:c r="M413" s="18"/>
    </x:row>
    <x:row r="414" ht="15" hidden="0" customHeight="1">
      <x:c r="A414" s="22"/>
      <x:c r="B414" s="18"/>
      <x:c r="C414" s="18"/>
      <x:c r="D414" s="18"/>
      <x:c r="E414" s="18" t="str">
        <x:f>IF($C414="","",XLOOKUP($C414,Products!$A$5:$A$34,Products!$B$5:$B$34,""))</x:f>
      </x:c>
      <x:c r="F414" s="18" t="str">
        <x:f>IF($C414="","",XLOOKUP($C414,Products!$A$5:$A$34,Products!$C$5:$C$34,""))</x:f>
      </x:c>
      <x:c r="G414" s="19" t="str">
        <x:f>IF($C414="","",XLOOKUP($C414,Products!$A$5:$A$34,Products!$F$5:$F$34,""))</x:f>
      </x:c>
      <x:c r="H414" s="19" t="str">
        <x:f>IF($C414="","",XLOOKUP($C414,Products!$A$5:$A$34,Products!$E$5:$E$34,""))</x:f>
      </x:c>
      <x:c r="I414" s="19" t="str">
        <x:f>IF(OR($C414="",$D414=""),"",($D414*$G414))</x:f>
      </x:c>
      <x:c r="J414" s="18"/>
      <x:c r="K414" s="19" t="str">
        <x:f>IF(OR($C414="",$D414=""),"",$I414-($D414*$H414))</x:f>
      </x:c>
      <x:c r="L414" s="18"/>
      <x:c r="M414" s="18"/>
    </x:row>
    <x:row r="415" ht="15" hidden="0" customHeight="1">
      <x:c r="A415" s="22"/>
      <x:c r="B415" s="18"/>
      <x:c r="C415" s="18"/>
      <x:c r="D415" s="18"/>
      <x:c r="E415" s="18" t="str">
        <x:f>IF($C415="","",XLOOKUP($C415,Products!$A$5:$A$34,Products!$B$5:$B$34,""))</x:f>
      </x:c>
      <x:c r="F415" s="18" t="str">
        <x:f>IF($C415="","",XLOOKUP($C415,Products!$A$5:$A$34,Products!$C$5:$C$34,""))</x:f>
      </x:c>
      <x:c r="G415" s="19" t="str">
        <x:f>IF($C415="","",XLOOKUP($C415,Products!$A$5:$A$34,Products!$F$5:$F$34,""))</x:f>
      </x:c>
      <x:c r="H415" s="19" t="str">
        <x:f>IF($C415="","",XLOOKUP($C415,Products!$A$5:$A$34,Products!$E$5:$E$34,""))</x:f>
      </x:c>
      <x:c r="I415" s="19" t="str">
        <x:f>IF(OR($C415="",$D415=""),"",($D415*$G415))</x:f>
      </x:c>
      <x:c r="J415" s="18"/>
      <x:c r="K415" s="19" t="str">
        <x:f>IF(OR($C415="",$D415=""),"",$I415-($D415*$H415))</x:f>
      </x:c>
      <x:c r="L415" s="18"/>
      <x:c r="M415" s="18"/>
    </x:row>
    <x:row r="416" ht="15" hidden="0" customHeight="1">
      <x:c r="A416" s="22"/>
      <x:c r="B416" s="18"/>
      <x:c r="C416" s="18"/>
      <x:c r="D416" s="18"/>
      <x:c r="E416" s="18" t="str">
        <x:f>IF($C416="","",XLOOKUP($C416,Products!$A$5:$A$34,Products!$B$5:$B$34,""))</x:f>
      </x:c>
      <x:c r="F416" s="18" t="str">
        <x:f>IF($C416="","",XLOOKUP($C416,Products!$A$5:$A$34,Products!$C$5:$C$34,""))</x:f>
      </x:c>
      <x:c r="G416" s="19" t="str">
        <x:f>IF($C416="","",XLOOKUP($C416,Products!$A$5:$A$34,Products!$F$5:$F$34,""))</x:f>
      </x:c>
      <x:c r="H416" s="19" t="str">
        <x:f>IF($C416="","",XLOOKUP($C416,Products!$A$5:$A$34,Products!$E$5:$E$34,""))</x:f>
      </x:c>
      <x:c r="I416" s="19" t="str">
        <x:f>IF(OR($C416="",$D416=""),"",($D416*$G416))</x:f>
      </x:c>
      <x:c r="J416" s="18"/>
      <x:c r="K416" s="19" t="str">
        <x:f>IF(OR($C416="",$D416=""),"",$I416-($D416*$H416))</x:f>
      </x:c>
      <x:c r="L416" s="18"/>
      <x:c r="M416" s="18"/>
    </x:row>
    <x:row r="417" ht="15" hidden="0" customHeight="1">
      <x:c r="A417" s="22"/>
      <x:c r="B417" s="18"/>
      <x:c r="C417" s="18"/>
      <x:c r="D417" s="18"/>
      <x:c r="E417" s="18" t="str">
        <x:f>IF($C417="","",XLOOKUP($C417,Products!$A$5:$A$34,Products!$B$5:$B$34,""))</x:f>
      </x:c>
      <x:c r="F417" s="18" t="str">
        <x:f>IF($C417="","",XLOOKUP($C417,Products!$A$5:$A$34,Products!$C$5:$C$34,""))</x:f>
      </x:c>
      <x:c r="G417" s="19" t="str">
        <x:f>IF($C417="","",XLOOKUP($C417,Products!$A$5:$A$34,Products!$F$5:$F$34,""))</x:f>
      </x:c>
      <x:c r="H417" s="19" t="str">
        <x:f>IF($C417="","",XLOOKUP($C417,Products!$A$5:$A$34,Products!$E$5:$E$34,""))</x:f>
      </x:c>
      <x:c r="I417" s="19" t="str">
        <x:f>IF(OR($C417="",$D417=""),"",($D417*$G417))</x:f>
      </x:c>
      <x:c r="J417" s="18"/>
      <x:c r="K417" s="19" t="str">
        <x:f>IF(OR($C417="",$D417=""),"",$I417-($D417*$H417))</x:f>
      </x:c>
      <x:c r="L417" s="18"/>
      <x:c r="M417" s="18"/>
    </x:row>
    <x:row r="418" ht="15" hidden="0" customHeight="1">
      <x:c r="A418" s="22"/>
      <x:c r="B418" s="18"/>
      <x:c r="C418" s="18"/>
      <x:c r="D418" s="18"/>
      <x:c r="E418" s="18" t="str">
        <x:f>IF($C418="","",XLOOKUP($C418,Products!$A$5:$A$34,Products!$B$5:$B$34,""))</x:f>
      </x:c>
      <x:c r="F418" s="18" t="str">
        <x:f>IF($C418="","",XLOOKUP($C418,Products!$A$5:$A$34,Products!$C$5:$C$34,""))</x:f>
      </x:c>
      <x:c r="G418" s="19" t="str">
        <x:f>IF($C418="","",XLOOKUP($C418,Products!$A$5:$A$34,Products!$F$5:$F$34,""))</x:f>
      </x:c>
      <x:c r="H418" s="19" t="str">
        <x:f>IF($C418="","",XLOOKUP($C418,Products!$A$5:$A$34,Products!$E$5:$E$34,""))</x:f>
      </x:c>
      <x:c r="I418" s="19" t="str">
        <x:f>IF(OR($C418="",$D418=""),"",($D418*$G418))</x:f>
      </x:c>
      <x:c r="J418" s="18"/>
      <x:c r="K418" s="19" t="str">
        <x:f>IF(OR($C418="",$D418=""),"",$I418-($D418*$H418))</x:f>
      </x:c>
      <x:c r="L418" s="18"/>
      <x:c r="M418" s="18"/>
    </x:row>
    <x:row r="419" ht="15" hidden="0" customHeight="1">
      <x:c r="A419" s="22"/>
      <x:c r="B419" s="18"/>
      <x:c r="C419" s="18"/>
      <x:c r="D419" s="18"/>
      <x:c r="E419" s="18" t="str">
        <x:f>IF($C419="","",XLOOKUP($C419,Products!$A$5:$A$34,Products!$B$5:$B$34,""))</x:f>
      </x:c>
      <x:c r="F419" s="18" t="str">
        <x:f>IF($C419="","",XLOOKUP($C419,Products!$A$5:$A$34,Products!$C$5:$C$34,""))</x:f>
      </x:c>
      <x:c r="G419" s="19" t="str">
        <x:f>IF($C419="","",XLOOKUP($C419,Products!$A$5:$A$34,Products!$F$5:$F$34,""))</x:f>
      </x:c>
      <x:c r="H419" s="19" t="str">
        <x:f>IF($C419="","",XLOOKUP($C419,Products!$A$5:$A$34,Products!$E$5:$E$34,""))</x:f>
      </x:c>
      <x:c r="I419" s="19" t="str">
        <x:f>IF(OR($C419="",$D419=""),"",($D419*$G419))</x:f>
      </x:c>
      <x:c r="J419" s="18"/>
      <x:c r="K419" s="19" t="str">
        <x:f>IF(OR($C419="",$D419=""),"",$I419-($D419*$H419))</x:f>
      </x:c>
      <x:c r="L419" s="18"/>
      <x:c r="M419" s="18"/>
    </x:row>
    <x:row r="420" ht="15" hidden="0" customHeight="1">
      <x:c r="A420" s="22"/>
      <x:c r="B420" s="18"/>
      <x:c r="C420" s="18"/>
      <x:c r="D420" s="18"/>
      <x:c r="E420" s="18" t="str">
        <x:f>IF($C420="","",XLOOKUP($C420,Products!$A$5:$A$34,Products!$B$5:$B$34,""))</x:f>
      </x:c>
      <x:c r="F420" s="18" t="str">
        <x:f>IF($C420="","",XLOOKUP($C420,Products!$A$5:$A$34,Products!$C$5:$C$34,""))</x:f>
      </x:c>
      <x:c r="G420" s="19" t="str">
        <x:f>IF($C420="","",XLOOKUP($C420,Products!$A$5:$A$34,Products!$F$5:$F$34,""))</x:f>
      </x:c>
      <x:c r="H420" s="19" t="str">
        <x:f>IF($C420="","",XLOOKUP($C420,Products!$A$5:$A$34,Products!$E$5:$E$34,""))</x:f>
      </x:c>
      <x:c r="I420" s="19" t="str">
        <x:f>IF(OR($C420="",$D420=""),"",($D420*$G420))</x:f>
      </x:c>
      <x:c r="J420" s="18"/>
      <x:c r="K420" s="19" t="str">
        <x:f>IF(OR($C420="",$D420=""),"",$I420-($D420*$H420))</x:f>
      </x:c>
      <x:c r="L420" s="18"/>
      <x:c r="M420" s="18"/>
    </x:row>
    <x:row r="421" ht="15" hidden="0" customHeight="1">
      <x:c r="A421" s="22"/>
      <x:c r="B421" s="18"/>
      <x:c r="C421" s="18"/>
      <x:c r="D421" s="18"/>
      <x:c r="E421" s="18" t="str">
        <x:f>IF($C421="","",XLOOKUP($C421,Products!$A$5:$A$34,Products!$B$5:$B$34,""))</x:f>
      </x:c>
      <x:c r="F421" s="18" t="str">
        <x:f>IF($C421="","",XLOOKUP($C421,Products!$A$5:$A$34,Products!$C$5:$C$34,""))</x:f>
      </x:c>
      <x:c r="G421" s="19" t="str">
        <x:f>IF($C421="","",XLOOKUP($C421,Products!$A$5:$A$34,Products!$F$5:$F$34,""))</x:f>
      </x:c>
      <x:c r="H421" s="19" t="str">
        <x:f>IF($C421="","",XLOOKUP($C421,Products!$A$5:$A$34,Products!$E$5:$E$34,""))</x:f>
      </x:c>
      <x:c r="I421" s="19" t="str">
        <x:f>IF(OR($C421="",$D421=""),"",($D421*$G421))</x:f>
      </x:c>
      <x:c r="J421" s="18"/>
      <x:c r="K421" s="19" t="str">
        <x:f>IF(OR($C421="",$D421=""),"",$I421-($D421*$H421))</x:f>
      </x:c>
      <x:c r="L421" s="18"/>
      <x:c r="M421" s="18"/>
    </x:row>
    <x:row r="422" ht="15" hidden="0" customHeight="1">
      <x:c r="A422" s="22"/>
      <x:c r="B422" s="18"/>
      <x:c r="C422" s="18"/>
      <x:c r="D422" s="18"/>
      <x:c r="E422" s="18" t="str">
        <x:f>IF($C422="","",XLOOKUP($C422,Products!$A$5:$A$34,Products!$B$5:$B$34,""))</x:f>
      </x:c>
      <x:c r="F422" s="18" t="str">
        <x:f>IF($C422="","",XLOOKUP($C422,Products!$A$5:$A$34,Products!$C$5:$C$34,""))</x:f>
      </x:c>
      <x:c r="G422" s="19" t="str">
        <x:f>IF($C422="","",XLOOKUP($C422,Products!$A$5:$A$34,Products!$F$5:$F$34,""))</x:f>
      </x:c>
      <x:c r="H422" s="19" t="str">
        <x:f>IF($C422="","",XLOOKUP($C422,Products!$A$5:$A$34,Products!$E$5:$E$34,""))</x:f>
      </x:c>
      <x:c r="I422" s="19" t="str">
        <x:f>IF(OR($C422="",$D422=""),"",($D422*$G422))</x:f>
      </x:c>
      <x:c r="J422" s="18"/>
      <x:c r="K422" s="19" t="str">
        <x:f>IF(OR($C422="",$D422=""),"",$I422-($D422*$H422))</x:f>
      </x:c>
      <x:c r="L422" s="18"/>
      <x:c r="M422" s="18"/>
    </x:row>
    <x:row r="423" ht="15" hidden="0" customHeight="1">
      <x:c r="A423" s="22"/>
      <x:c r="B423" s="18"/>
      <x:c r="C423" s="18"/>
      <x:c r="D423" s="18"/>
      <x:c r="E423" s="18" t="str">
        <x:f>IF($C423="","",XLOOKUP($C423,Products!$A$5:$A$34,Products!$B$5:$B$34,""))</x:f>
      </x:c>
      <x:c r="F423" s="18" t="str">
        <x:f>IF($C423="","",XLOOKUP($C423,Products!$A$5:$A$34,Products!$C$5:$C$34,""))</x:f>
      </x:c>
      <x:c r="G423" s="19" t="str">
        <x:f>IF($C423="","",XLOOKUP($C423,Products!$A$5:$A$34,Products!$F$5:$F$34,""))</x:f>
      </x:c>
      <x:c r="H423" s="19" t="str">
        <x:f>IF($C423="","",XLOOKUP($C423,Products!$A$5:$A$34,Products!$E$5:$E$34,""))</x:f>
      </x:c>
      <x:c r="I423" s="19" t="str">
        <x:f>IF(OR($C423="",$D423=""),"",($D423*$G423))</x:f>
      </x:c>
      <x:c r="J423" s="18"/>
      <x:c r="K423" s="19" t="str">
        <x:f>IF(OR($C423="",$D423=""),"",$I423-($D423*$H423))</x:f>
      </x:c>
      <x:c r="L423" s="18"/>
      <x:c r="M423" s="18"/>
    </x:row>
    <x:row r="424" ht="15" hidden="0" customHeight="1">
      <x:c r="A424" s="22"/>
      <x:c r="B424" s="18"/>
      <x:c r="C424" s="18"/>
      <x:c r="D424" s="18"/>
      <x:c r="E424" s="18" t="str">
        <x:f>IF($C424="","",XLOOKUP($C424,Products!$A$5:$A$34,Products!$B$5:$B$34,""))</x:f>
      </x:c>
      <x:c r="F424" s="18" t="str">
        <x:f>IF($C424="","",XLOOKUP($C424,Products!$A$5:$A$34,Products!$C$5:$C$34,""))</x:f>
      </x:c>
      <x:c r="G424" s="19" t="str">
        <x:f>IF($C424="","",XLOOKUP($C424,Products!$A$5:$A$34,Products!$F$5:$F$34,""))</x:f>
      </x:c>
      <x:c r="H424" s="19" t="str">
        <x:f>IF($C424="","",XLOOKUP($C424,Products!$A$5:$A$34,Products!$E$5:$E$34,""))</x:f>
      </x:c>
      <x:c r="I424" s="19" t="str">
        <x:f>IF(OR($C424="",$D424=""),"",($D424*$G424))</x:f>
      </x:c>
      <x:c r="J424" s="18"/>
      <x:c r="K424" s="19" t="str">
        <x:f>IF(OR($C424="",$D424=""),"",$I424-($D424*$H424))</x:f>
      </x:c>
      <x:c r="L424" s="18"/>
      <x:c r="M424" s="18"/>
    </x:row>
    <x:row r="425" ht="15" hidden="0" customHeight="1">
      <x:c r="A425" s="22"/>
      <x:c r="B425" s="18"/>
      <x:c r="C425" s="18"/>
      <x:c r="D425" s="18"/>
      <x:c r="E425" s="18" t="str">
        <x:f>IF($C425="","",XLOOKUP($C425,Products!$A$5:$A$34,Products!$B$5:$B$34,""))</x:f>
      </x:c>
      <x:c r="F425" s="18" t="str">
        <x:f>IF($C425="","",XLOOKUP($C425,Products!$A$5:$A$34,Products!$C$5:$C$34,""))</x:f>
      </x:c>
      <x:c r="G425" s="19" t="str">
        <x:f>IF($C425="","",XLOOKUP($C425,Products!$A$5:$A$34,Products!$F$5:$F$34,""))</x:f>
      </x:c>
      <x:c r="H425" s="19" t="str">
        <x:f>IF($C425="","",XLOOKUP($C425,Products!$A$5:$A$34,Products!$E$5:$E$34,""))</x:f>
      </x:c>
      <x:c r="I425" s="19" t="str">
        <x:f>IF(OR($C425="",$D425=""),"",($D425*$G425))</x:f>
      </x:c>
      <x:c r="J425" s="18"/>
      <x:c r="K425" s="19" t="str">
        <x:f>IF(OR($C425="",$D425=""),"",$I425-($D425*$H425))</x:f>
      </x:c>
      <x:c r="L425" s="18"/>
      <x:c r="M425" s="18"/>
    </x:row>
    <x:row r="426" ht="15" hidden="0" customHeight="1">
      <x:c r="A426" s="22"/>
      <x:c r="B426" s="18"/>
      <x:c r="C426" s="18"/>
      <x:c r="D426" s="18"/>
      <x:c r="E426" s="18" t="str">
        <x:f>IF($C426="","",XLOOKUP($C426,Products!$A$5:$A$34,Products!$B$5:$B$34,""))</x:f>
      </x:c>
      <x:c r="F426" s="18" t="str">
        <x:f>IF($C426="","",XLOOKUP($C426,Products!$A$5:$A$34,Products!$C$5:$C$34,""))</x:f>
      </x:c>
      <x:c r="G426" s="19" t="str">
        <x:f>IF($C426="","",XLOOKUP($C426,Products!$A$5:$A$34,Products!$F$5:$F$34,""))</x:f>
      </x:c>
      <x:c r="H426" s="19" t="str">
        <x:f>IF($C426="","",XLOOKUP($C426,Products!$A$5:$A$34,Products!$E$5:$E$34,""))</x:f>
      </x:c>
      <x:c r="I426" s="19" t="str">
        <x:f>IF(OR($C426="",$D426=""),"",($D426*$G426))</x:f>
      </x:c>
      <x:c r="J426" s="18"/>
      <x:c r="K426" s="19" t="str">
        <x:f>IF(OR($C426="",$D426=""),"",$I426-($D426*$H426))</x:f>
      </x:c>
      <x:c r="L426" s="18"/>
      <x:c r="M426" s="18"/>
    </x:row>
    <x:row r="427" ht="15" hidden="0" customHeight="1">
      <x:c r="A427" s="22"/>
      <x:c r="B427" s="18"/>
      <x:c r="C427" s="18"/>
      <x:c r="D427" s="18"/>
      <x:c r="E427" s="18" t="str">
        <x:f>IF($C427="","",XLOOKUP($C427,Products!$A$5:$A$34,Products!$B$5:$B$34,""))</x:f>
      </x:c>
      <x:c r="F427" s="18" t="str">
        <x:f>IF($C427="","",XLOOKUP($C427,Products!$A$5:$A$34,Products!$C$5:$C$34,""))</x:f>
      </x:c>
      <x:c r="G427" s="19" t="str">
        <x:f>IF($C427="","",XLOOKUP($C427,Products!$A$5:$A$34,Products!$F$5:$F$34,""))</x:f>
      </x:c>
      <x:c r="H427" s="19" t="str">
        <x:f>IF($C427="","",XLOOKUP($C427,Products!$A$5:$A$34,Products!$E$5:$E$34,""))</x:f>
      </x:c>
      <x:c r="I427" s="19" t="str">
        <x:f>IF(OR($C427="",$D427=""),"",($D427*$G427))</x:f>
      </x:c>
      <x:c r="J427" s="18"/>
      <x:c r="K427" s="19" t="str">
        <x:f>IF(OR($C427="",$D427=""),"",$I427-($D427*$H427))</x:f>
      </x:c>
      <x:c r="L427" s="18"/>
      <x:c r="M427" s="18"/>
    </x:row>
    <x:row r="428" ht="15" hidden="0" customHeight="1">
      <x:c r="A428" s="22"/>
      <x:c r="B428" s="18"/>
      <x:c r="C428" s="18"/>
      <x:c r="D428" s="18"/>
      <x:c r="E428" s="18" t="str">
        <x:f>IF($C428="","",XLOOKUP($C428,Products!$A$5:$A$34,Products!$B$5:$B$34,""))</x:f>
      </x:c>
      <x:c r="F428" s="18" t="str">
        <x:f>IF($C428="","",XLOOKUP($C428,Products!$A$5:$A$34,Products!$C$5:$C$34,""))</x:f>
      </x:c>
      <x:c r="G428" s="19" t="str">
        <x:f>IF($C428="","",XLOOKUP($C428,Products!$A$5:$A$34,Products!$F$5:$F$34,""))</x:f>
      </x:c>
      <x:c r="H428" s="19" t="str">
        <x:f>IF($C428="","",XLOOKUP($C428,Products!$A$5:$A$34,Products!$E$5:$E$34,""))</x:f>
      </x:c>
      <x:c r="I428" s="19" t="str">
        <x:f>IF(OR($C428="",$D428=""),"",($D428*$G428))</x:f>
      </x:c>
      <x:c r="J428" s="18"/>
      <x:c r="K428" s="19" t="str">
        <x:f>IF(OR($C428="",$D428=""),"",$I428-($D428*$H428))</x:f>
      </x:c>
      <x:c r="L428" s="18"/>
      <x:c r="M428" s="18"/>
    </x:row>
    <x:row r="429" ht="15" hidden="0" customHeight="1">
      <x:c r="A429" s="22"/>
      <x:c r="B429" s="18"/>
      <x:c r="C429" s="18"/>
      <x:c r="D429" s="18"/>
      <x:c r="E429" s="18" t="str">
        <x:f>IF($C429="","",XLOOKUP($C429,Products!$A$5:$A$34,Products!$B$5:$B$34,""))</x:f>
      </x:c>
      <x:c r="F429" s="18" t="str">
        <x:f>IF($C429="","",XLOOKUP($C429,Products!$A$5:$A$34,Products!$C$5:$C$34,""))</x:f>
      </x:c>
      <x:c r="G429" s="19" t="str">
        <x:f>IF($C429="","",XLOOKUP($C429,Products!$A$5:$A$34,Products!$F$5:$F$34,""))</x:f>
      </x:c>
      <x:c r="H429" s="19" t="str">
        <x:f>IF($C429="","",XLOOKUP($C429,Products!$A$5:$A$34,Products!$E$5:$E$34,""))</x:f>
      </x:c>
      <x:c r="I429" s="19" t="str">
        <x:f>IF(OR($C429="",$D429=""),"",($D429*$G429))</x:f>
      </x:c>
      <x:c r="J429" s="18"/>
      <x:c r="K429" s="19" t="str">
        <x:f>IF(OR($C429="",$D429=""),"",$I429-($D429*$H429))</x:f>
      </x:c>
      <x:c r="L429" s="18"/>
      <x:c r="M429" s="18"/>
    </x:row>
    <x:row r="430" ht="15" hidden="0" customHeight="1">
      <x:c r="A430" s="22"/>
      <x:c r="B430" s="18"/>
      <x:c r="C430" s="18"/>
      <x:c r="D430" s="18"/>
      <x:c r="E430" s="18" t="str">
        <x:f>IF($C430="","",XLOOKUP($C430,Products!$A$5:$A$34,Products!$B$5:$B$34,""))</x:f>
      </x:c>
      <x:c r="F430" s="18" t="str">
        <x:f>IF($C430="","",XLOOKUP($C430,Products!$A$5:$A$34,Products!$C$5:$C$34,""))</x:f>
      </x:c>
      <x:c r="G430" s="19" t="str">
        <x:f>IF($C430="","",XLOOKUP($C430,Products!$A$5:$A$34,Products!$F$5:$F$34,""))</x:f>
      </x:c>
      <x:c r="H430" s="19" t="str">
        <x:f>IF($C430="","",XLOOKUP($C430,Products!$A$5:$A$34,Products!$E$5:$E$34,""))</x:f>
      </x:c>
      <x:c r="I430" s="19" t="str">
        <x:f>IF(OR($C430="",$D430=""),"",($D430*$G430))</x:f>
      </x:c>
      <x:c r="J430" s="18"/>
      <x:c r="K430" s="19" t="str">
        <x:f>IF(OR($C430="",$D430=""),"",$I430-($D430*$H430))</x:f>
      </x:c>
      <x:c r="L430" s="18"/>
      <x:c r="M430" s="18"/>
    </x:row>
    <x:row r="431" ht="15" hidden="0" customHeight="1">
      <x:c r="A431" s="22"/>
      <x:c r="B431" s="18"/>
      <x:c r="C431" s="18"/>
      <x:c r="D431" s="18"/>
      <x:c r="E431" s="18" t="str">
        <x:f>IF($C431="","",XLOOKUP($C431,Products!$A$5:$A$34,Products!$B$5:$B$34,""))</x:f>
      </x:c>
      <x:c r="F431" s="18" t="str">
        <x:f>IF($C431="","",XLOOKUP($C431,Products!$A$5:$A$34,Products!$C$5:$C$34,""))</x:f>
      </x:c>
      <x:c r="G431" s="19" t="str">
        <x:f>IF($C431="","",XLOOKUP($C431,Products!$A$5:$A$34,Products!$F$5:$F$34,""))</x:f>
      </x:c>
      <x:c r="H431" s="19" t="str">
        <x:f>IF($C431="","",XLOOKUP($C431,Products!$A$5:$A$34,Products!$E$5:$E$34,""))</x:f>
      </x:c>
      <x:c r="I431" s="19" t="str">
        <x:f>IF(OR($C431="",$D431=""),"",($D431*$G431))</x:f>
      </x:c>
      <x:c r="J431" s="18"/>
      <x:c r="K431" s="19" t="str">
        <x:f>IF(OR($C431="",$D431=""),"",$I431-($D431*$H431))</x:f>
      </x:c>
      <x:c r="L431" s="18"/>
      <x:c r="M431" s="18"/>
    </x:row>
    <x:row r="432" ht="15" hidden="0" customHeight="1">
      <x:c r="A432" s="22"/>
      <x:c r="B432" s="18"/>
      <x:c r="C432" s="18"/>
      <x:c r="D432" s="18"/>
      <x:c r="E432" s="18" t="str">
        <x:f>IF($C432="","",XLOOKUP($C432,Products!$A$5:$A$34,Products!$B$5:$B$34,""))</x:f>
      </x:c>
      <x:c r="F432" s="18" t="str">
        <x:f>IF($C432="","",XLOOKUP($C432,Products!$A$5:$A$34,Products!$C$5:$C$34,""))</x:f>
      </x:c>
      <x:c r="G432" s="19" t="str">
        <x:f>IF($C432="","",XLOOKUP($C432,Products!$A$5:$A$34,Products!$F$5:$F$34,""))</x:f>
      </x:c>
      <x:c r="H432" s="19" t="str">
        <x:f>IF($C432="","",XLOOKUP($C432,Products!$A$5:$A$34,Products!$E$5:$E$34,""))</x:f>
      </x:c>
      <x:c r="I432" s="19" t="str">
        <x:f>IF(OR($C432="",$D432=""),"",($D432*$G432))</x:f>
      </x:c>
      <x:c r="J432" s="18"/>
      <x:c r="K432" s="19" t="str">
        <x:f>IF(OR($C432="",$D432=""),"",$I432-($D432*$H432))</x:f>
      </x:c>
      <x:c r="L432" s="18"/>
      <x:c r="M432" s="18"/>
    </x:row>
    <x:row r="433" ht="15" hidden="0" customHeight="1">
      <x:c r="A433" s="22"/>
      <x:c r="B433" s="18"/>
      <x:c r="C433" s="18"/>
      <x:c r="D433" s="18"/>
      <x:c r="E433" s="18" t="str">
        <x:f>IF($C433="","",XLOOKUP($C433,Products!$A$5:$A$34,Products!$B$5:$B$34,""))</x:f>
      </x:c>
      <x:c r="F433" s="18" t="str">
        <x:f>IF($C433="","",XLOOKUP($C433,Products!$A$5:$A$34,Products!$C$5:$C$34,""))</x:f>
      </x:c>
      <x:c r="G433" s="19" t="str">
        <x:f>IF($C433="","",XLOOKUP($C433,Products!$A$5:$A$34,Products!$F$5:$F$34,""))</x:f>
      </x:c>
      <x:c r="H433" s="19" t="str">
        <x:f>IF($C433="","",XLOOKUP($C433,Products!$A$5:$A$34,Products!$E$5:$E$34,""))</x:f>
      </x:c>
      <x:c r="I433" s="19" t="str">
        <x:f>IF(OR($C433="",$D433=""),"",($D433*$G433))</x:f>
      </x:c>
      <x:c r="J433" s="18"/>
      <x:c r="K433" s="19" t="str">
        <x:f>IF(OR($C433="",$D433=""),"",$I433-($D433*$H433))</x:f>
      </x:c>
      <x:c r="L433" s="18"/>
      <x:c r="M433" s="18"/>
    </x:row>
    <x:row r="434" ht="15" hidden="0" customHeight="1">
      <x:c r="A434" s="22"/>
      <x:c r="B434" s="18"/>
      <x:c r="C434" s="18"/>
      <x:c r="D434" s="18"/>
      <x:c r="E434" s="18" t="str">
        <x:f>IF($C434="","",XLOOKUP($C434,Products!$A$5:$A$34,Products!$B$5:$B$34,""))</x:f>
      </x:c>
      <x:c r="F434" s="18" t="str">
        <x:f>IF($C434="","",XLOOKUP($C434,Products!$A$5:$A$34,Products!$C$5:$C$34,""))</x:f>
      </x:c>
      <x:c r="G434" s="19" t="str">
        <x:f>IF($C434="","",XLOOKUP($C434,Products!$A$5:$A$34,Products!$F$5:$F$34,""))</x:f>
      </x:c>
      <x:c r="H434" s="19" t="str">
        <x:f>IF($C434="","",XLOOKUP($C434,Products!$A$5:$A$34,Products!$E$5:$E$34,""))</x:f>
      </x:c>
      <x:c r="I434" s="19" t="str">
        <x:f>IF(OR($C434="",$D434=""),"",($D434*$G434))</x:f>
      </x:c>
      <x:c r="J434" s="18"/>
      <x:c r="K434" s="19" t="str">
        <x:f>IF(OR($C434="",$D434=""),"",$I434-($D434*$H434))</x:f>
      </x:c>
      <x:c r="L434" s="18"/>
      <x:c r="M434" s="18"/>
    </x:row>
    <x:row r="435" ht="15" hidden="0" customHeight="1">
      <x:c r="A435" s="22"/>
      <x:c r="B435" s="18"/>
      <x:c r="C435" s="18"/>
      <x:c r="D435" s="18"/>
      <x:c r="E435" s="18" t="str">
        <x:f>IF($C435="","",XLOOKUP($C435,Products!$A$5:$A$34,Products!$B$5:$B$34,""))</x:f>
      </x:c>
      <x:c r="F435" s="18" t="str">
        <x:f>IF($C435="","",XLOOKUP($C435,Products!$A$5:$A$34,Products!$C$5:$C$34,""))</x:f>
      </x:c>
      <x:c r="G435" s="19" t="str">
        <x:f>IF($C435="","",XLOOKUP($C435,Products!$A$5:$A$34,Products!$F$5:$F$34,""))</x:f>
      </x:c>
      <x:c r="H435" s="19" t="str">
        <x:f>IF($C435="","",XLOOKUP($C435,Products!$A$5:$A$34,Products!$E$5:$E$34,""))</x:f>
      </x:c>
      <x:c r="I435" s="19" t="str">
        <x:f>IF(OR($C435="",$D435=""),"",($D435*$G435))</x:f>
      </x:c>
      <x:c r="J435" s="18"/>
      <x:c r="K435" s="19" t="str">
        <x:f>IF(OR($C435="",$D435=""),"",$I435-($D435*$H435))</x:f>
      </x:c>
      <x:c r="L435" s="18"/>
      <x:c r="M435" s="18"/>
    </x:row>
    <x:row r="436" ht="15" hidden="0" customHeight="1">
      <x:c r="A436" s="22"/>
      <x:c r="B436" s="18"/>
      <x:c r="C436" s="18"/>
      <x:c r="D436" s="18"/>
      <x:c r="E436" s="18" t="str">
        <x:f>IF($C436="","",XLOOKUP($C436,Products!$A$5:$A$34,Products!$B$5:$B$34,""))</x:f>
      </x:c>
      <x:c r="F436" s="18" t="str">
        <x:f>IF($C436="","",XLOOKUP($C436,Products!$A$5:$A$34,Products!$C$5:$C$34,""))</x:f>
      </x:c>
      <x:c r="G436" s="19" t="str">
        <x:f>IF($C436="","",XLOOKUP($C436,Products!$A$5:$A$34,Products!$F$5:$F$34,""))</x:f>
      </x:c>
      <x:c r="H436" s="19" t="str">
        <x:f>IF($C436="","",XLOOKUP($C436,Products!$A$5:$A$34,Products!$E$5:$E$34,""))</x:f>
      </x:c>
      <x:c r="I436" s="19" t="str">
        <x:f>IF(OR($C436="",$D436=""),"",($D436*$G436))</x:f>
      </x:c>
      <x:c r="J436" s="18"/>
      <x:c r="K436" s="19" t="str">
        <x:f>IF(OR($C436="",$D436=""),"",$I436-($D436*$H436))</x:f>
      </x:c>
      <x:c r="L436" s="18"/>
      <x:c r="M436" s="18"/>
    </x:row>
    <x:row r="437" ht="15" hidden="0" customHeight="1">
      <x:c r="A437" s="22"/>
      <x:c r="B437" s="18"/>
      <x:c r="C437" s="18"/>
      <x:c r="D437" s="18"/>
      <x:c r="E437" s="18" t="str">
        <x:f>IF($C437="","",XLOOKUP($C437,Products!$A$5:$A$34,Products!$B$5:$B$34,""))</x:f>
      </x:c>
      <x:c r="F437" s="18" t="str">
        <x:f>IF($C437="","",XLOOKUP($C437,Products!$A$5:$A$34,Products!$C$5:$C$34,""))</x:f>
      </x:c>
      <x:c r="G437" s="19" t="str">
        <x:f>IF($C437="","",XLOOKUP($C437,Products!$A$5:$A$34,Products!$F$5:$F$34,""))</x:f>
      </x:c>
      <x:c r="H437" s="19" t="str">
        <x:f>IF($C437="","",XLOOKUP($C437,Products!$A$5:$A$34,Products!$E$5:$E$34,""))</x:f>
      </x:c>
      <x:c r="I437" s="19" t="str">
        <x:f>IF(OR($C437="",$D437=""),"",($D437*$G437))</x:f>
      </x:c>
      <x:c r="J437" s="18"/>
      <x:c r="K437" s="19" t="str">
        <x:f>IF(OR($C437="",$D437=""),"",$I437-($D437*$H437))</x:f>
      </x:c>
      <x:c r="L437" s="18"/>
      <x:c r="M437" s="18"/>
    </x:row>
    <x:row r="438" ht="15" hidden="0" customHeight="1">
      <x:c r="A438" s="22"/>
      <x:c r="B438" s="18"/>
      <x:c r="C438" s="18"/>
      <x:c r="D438" s="18"/>
      <x:c r="E438" s="18" t="str">
        <x:f>IF($C438="","",XLOOKUP($C438,Products!$A$5:$A$34,Products!$B$5:$B$34,""))</x:f>
      </x:c>
      <x:c r="F438" s="18" t="str">
        <x:f>IF($C438="","",XLOOKUP($C438,Products!$A$5:$A$34,Products!$C$5:$C$34,""))</x:f>
      </x:c>
      <x:c r="G438" s="19" t="str">
        <x:f>IF($C438="","",XLOOKUP($C438,Products!$A$5:$A$34,Products!$F$5:$F$34,""))</x:f>
      </x:c>
      <x:c r="H438" s="19" t="str">
        <x:f>IF($C438="","",XLOOKUP($C438,Products!$A$5:$A$34,Products!$E$5:$E$34,""))</x:f>
      </x:c>
      <x:c r="I438" s="19" t="str">
        <x:f>IF(OR($C438="",$D438=""),"",($D438*$G438))</x:f>
      </x:c>
      <x:c r="J438" s="18"/>
      <x:c r="K438" s="19" t="str">
        <x:f>IF(OR($C438="",$D438=""),"",$I438-($D438*$H438))</x:f>
      </x:c>
      <x:c r="L438" s="18"/>
      <x:c r="M438" s="18"/>
    </x:row>
    <x:row r="439" ht="15" hidden="0" customHeight="1">
      <x:c r="A439" s="22"/>
      <x:c r="B439" s="18"/>
      <x:c r="C439" s="18"/>
      <x:c r="D439" s="18"/>
      <x:c r="E439" s="18" t="str">
        <x:f>IF($C439="","",XLOOKUP($C439,Products!$A$5:$A$34,Products!$B$5:$B$34,""))</x:f>
      </x:c>
      <x:c r="F439" s="18" t="str">
        <x:f>IF($C439="","",XLOOKUP($C439,Products!$A$5:$A$34,Products!$C$5:$C$34,""))</x:f>
      </x:c>
      <x:c r="G439" s="19" t="str">
        <x:f>IF($C439="","",XLOOKUP($C439,Products!$A$5:$A$34,Products!$F$5:$F$34,""))</x:f>
      </x:c>
      <x:c r="H439" s="19" t="str">
        <x:f>IF($C439="","",XLOOKUP($C439,Products!$A$5:$A$34,Products!$E$5:$E$34,""))</x:f>
      </x:c>
      <x:c r="I439" s="19" t="str">
        <x:f>IF(OR($C439="",$D439=""),"",($D439*$G439))</x:f>
      </x:c>
      <x:c r="J439" s="18"/>
      <x:c r="K439" s="19" t="str">
        <x:f>IF(OR($C439="",$D439=""),"",$I439-($D439*$H439))</x:f>
      </x:c>
      <x:c r="L439" s="18"/>
      <x:c r="M439" s="18"/>
    </x:row>
    <x:row r="440" ht="15" hidden="0" customHeight="1">
      <x:c r="A440" s="22"/>
      <x:c r="B440" s="18"/>
      <x:c r="C440" s="18"/>
      <x:c r="D440" s="18"/>
      <x:c r="E440" s="18" t="str">
        <x:f>IF($C440="","",XLOOKUP($C440,Products!$A$5:$A$34,Products!$B$5:$B$34,""))</x:f>
      </x:c>
      <x:c r="F440" s="18" t="str">
        <x:f>IF($C440="","",XLOOKUP($C440,Products!$A$5:$A$34,Products!$C$5:$C$34,""))</x:f>
      </x:c>
      <x:c r="G440" s="19" t="str">
        <x:f>IF($C440="","",XLOOKUP($C440,Products!$A$5:$A$34,Products!$F$5:$F$34,""))</x:f>
      </x:c>
      <x:c r="H440" s="19" t="str">
        <x:f>IF($C440="","",XLOOKUP($C440,Products!$A$5:$A$34,Products!$E$5:$E$34,""))</x:f>
      </x:c>
      <x:c r="I440" s="19" t="str">
        <x:f>IF(OR($C440="",$D440=""),"",($D440*$G440))</x:f>
      </x:c>
      <x:c r="J440" s="18"/>
      <x:c r="K440" s="19" t="str">
        <x:f>IF(OR($C440="",$D440=""),"",$I440-($D440*$H440))</x:f>
      </x:c>
      <x:c r="L440" s="18"/>
      <x:c r="M440" s="18"/>
    </x:row>
    <x:row r="441" ht="15" hidden="0" customHeight="1">
      <x:c r="A441" s="22"/>
      <x:c r="B441" s="18"/>
      <x:c r="C441" s="18"/>
      <x:c r="D441" s="18"/>
      <x:c r="E441" s="18" t="str">
        <x:f>IF($C441="","",XLOOKUP($C441,Products!$A$5:$A$34,Products!$B$5:$B$34,""))</x:f>
      </x:c>
      <x:c r="F441" s="18" t="str">
        <x:f>IF($C441="","",XLOOKUP($C441,Products!$A$5:$A$34,Products!$C$5:$C$34,""))</x:f>
      </x:c>
      <x:c r="G441" s="19" t="str">
        <x:f>IF($C441="","",XLOOKUP($C441,Products!$A$5:$A$34,Products!$F$5:$F$34,""))</x:f>
      </x:c>
      <x:c r="H441" s="19" t="str">
        <x:f>IF($C441="","",XLOOKUP($C441,Products!$A$5:$A$34,Products!$E$5:$E$34,""))</x:f>
      </x:c>
      <x:c r="I441" s="19" t="str">
        <x:f>IF(OR($C441="",$D441=""),"",($D441*$G441))</x:f>
      </x:c>
      <x:c r="J441" s="18"/>
      <x:c r="K441" s="19" t="str">
        <x:f>IF(OR($C441="",$D441=""),"",$I441-($D441*$H441))</x:f>
      </x:c>
      <x:c r="L441" s="18"/>
      <x:c r="M441" s="18"/>
    </x:row>
    <x:row r="442" ht="15" hidden="0" customHeight="1">
      <x:c r="A442" s="22"/>
      <x:c r="B442" s="18"/>
      <x:c r="C442" s="18"/>
      <x:c r="D442" s="18"/>
      <x:c r="E442" s="18" t="str">
        <x:f>IF($C442="","",XLOOKUP($C442,Products!$A$5:$A$34,Products!$B$5:$B$34,""))</x:f>
      </x:c>
      <x:c r="F442" s="18" t="str">
        <x:f>IF($C442="","",XLOOKUP($C442,Products!$A$5:$A$34,Products!$C$5:$C$34,""))</x:f>
      </x:c>
      <x:c r="G442" s="19" t="str">
        <x:f>IF($C442="","",XLOOKUP($C442,Products!$A$5:$A$34,Products!$F$5:$F$34,""))</x:f>
      </x:c>
      <x:c r="H442" s="19" t="str">
        <x:f>IF($C442="","",XLOOKUP($C442,Products!$A$5:$A$34,Products!$E$5:$E$34,""))</x:f>
      </x:c>
      <x:c r="I442" s="19" t="str">
        <x:f>IF(OR($C442="",$D442=""),"",($D442*$G442))</x:f>
      </x:c>
      <x:c r="J442" s="18"/>
      <x:c r="K442" s="19" t="str">
        <x:f>IF(OR($C442="",$D442=""),"",$I442-($D442*$H442))</x:f>
      </x:c>
      <x:c r="L442" s="18"/>
      <x:c r="M442" s="18"/>
    </x:row>
    <x:row r="443" ht="15" hidden="0" customHeight="1">
      <x:c r="A443" s="22"/>
      <x:c r="B443" s="18"/>
      <x:c r="C443" s="18"/>
      <x:c r="D443" s="18"/>
      <x:c r="E443" s="18" t="str">
        <x:f>IF($C443="","",XLOOKUP($C443,Products!$A$5:$A$34,Products!$B$5:$B$34,""))</x:f>
      </x:c>
      <x:c r="F443" s="18" t="str">
        <x:f>IF($C443="","",XLOOKUP($C443,Products!$A$5:$A$34,Products!$C$5:$C$34,""))</x:f>
      </x:c>
      <x:c r="G443" s="19" t="str">
        <x:f>IF($C443="","",XLOOKUP($C443,Products!$A$5:$A$34,Products!$F$5:$F$34,""))</x:f>
      </x:c>
      <x:c r="H443" s="19" t="str">
        <x:f>IF($C443="","",XLOOKUP($C443,Products!$A$5:$A$34,Products!$E$5:$E$34,""))</x:f>
      </x:c>
      <x:c r="I443" s="19" t="str">
        <x:f>IF(OR($C443="",$D443=""),"",($D443*$G443))</x:f>
      </x:c>
      <x:c r="J443" s="18"/>
      <x:c r="K443" s="19" t="str">
        <x:f>IF(OR($C443="",$D443=""),"",$I443-($D443*$H443))</x:f>
      </x:c>
      <x:c r="L443" s="18"/>
      <x:c r="M443" s="18"/>
    </x:row>
    <x:row r="444" ht="15" hidden="0" customHeight="1">
      <x:c r="A444" s="22"/>
      <x:c r="B444" s="18"/>
      <x:c r="C444" s="18"/>
      <x:c r="D444" s="18"/>
      <x:c r="E444" s="18" t="str">
        <x:f>IF($C444="","",XLOOKUP($C444,Products!$A$5:$A$34,Products!$B$5:$B$34,""))</x:f>
      </x:c>
      <x:c r="F444" s="18" t="str">
        <x:f>IF($C444="","",XLOOKUP($C444,Products!$A$5:$A$34,Products!$C$5:$C$34,""))</x:f>
      </x:c>
      <x:c r="G444" s="19" t="str">
        <x:f>IF($C444="","",XLOOKUP($C444,Products!$A$5:$A$34,Products!$F$5:$F$34,""))</x:f>
      </x:c>
      <x:c r="H444" s="19" t="str">
        <x:f>IF($C444="","",XLOOKUP($C444,Products!$A$5:$A$34,Products!$E$5:$E$34,""))</x:f>
      </x:c>
      <x:c r="I444" s="19" t="str">
        <x:f>IF(OR($C444="",$D444=""),"",($D444*$G444))</x:f>
      </x:c>
      <x:c r="J444" s="18"/>
      <x:c r="K444" s="19" t="str">
        <x:f>IF(OR($C444="",$D444=""),"",$I444-($D444*$H444))</x:f>
      </x:c>
      <x:c r="L444" s="18"/>
      <x:c r="M444" s="18"/>
    </x:row>
    <x:row r="445" ht="15" hidden="0" customHeight="1">
      <x:c r="A445" s="22"/>
      <x:c r="B445" s="18"/>
      <x:c r="C445" s="18"/>
      <x:c r="D445" s="18"/>
      <x:c r="E445" s="18" t="str">
        <x:f>IF($C445="","",XLOOKUP($C445,Products!$A$5:$A$34,Products!$B$5:$B$34,""))</x:f>
      </x:c>
      <x:c r="F445" s="18" t="str">
        <x:f>IF($C445="","",XLOOKUP($C445,Products!$A$5:$A$34,Products!$C$5:$C$34,""))</x:f>
      </x:c>
      <x:c r="G445" s="19" t="str">
        <x:f>IF($C445="","",XLOOKUP($C445,Products!$A$5:$A$34,Products!$F$5:$F$34,""))</x:f>
      </x:c>
      <x:c r="H445" s="19" t="str">
        <x:f>IF($C445="","",XLOOKUP($C445,Products!$A$5:$A$34,Products!$E$5:$E$34,""))</x:f>
      </x:c>
      <x:c r="I445" s="19" t="str">
        <x:f>IF(OR($C445="",$D445=""),"",($D445*$G445))</x:f>
      </x:c>
      <x:c r="J445" s="18"/>
      <x:c r="K445" s="19" t="str">
        <x:f>IF(OR($C445="",$D445=""),"",$I445-($D445*$H445))</x:f>
      </x:c>
      <x:c r="L445" s="18"/>
      <x:c r="M445" s="18"/>
    </x:row>
    <x:row r="446" ht="15" hidden="0" customHeight="1">
      <x:c r="A446" s="22"/>
      <x:c r="B446" s="18"/>
      <x:c r="C446" s="18"/>
      <x:c r="D446" s="18"/>
      <x:c r="E446" s="18" t="str">
        <x:f>IF($C446="","",XLOOKUP($C446,Products!$A$5:$A$34,Products!$B$5:$B$34,""))</x:f>
      </x:c>
      <x:c r="F446" s="18" t="str">
        <x:f>IF($C446="","",XLOOKUP($C446,Products!$A$5:$A$34,Products!$C$5:$C$34,""))</x:f>
      </x:c>
      <x:c r="G446" s="19" t="str">
        <x:f>IF($C446="","",XLOOKUP($C446,Products!$A$5:$A$34,Products!$F$5:$F$34,""))</x:f>
      </x:c>
      <x:c r="H446" s="19" t="str">
        <x:f>IF($C446="","",XLOOKUP($C446,Products!$A$5:$A$34,Products!$E$5:$E$34,""))</x:f>
      </x:c>
      <x:c r="I446" s="19" t="str">
        <x:f>IF(OR($C446="",$D446=""),"",($D446*$G446))</x:f>
      </x:c>
      <x:c r="J446" s="18"/>
      <x:c r="K446" s="19" t="str">
        <x:f>IF(OR($C446="",$D446=""),"",$I446-($D446*$H446))</x:f>
      </x:c>
      <x:c r="L446" s="18"/>
      <x:c r="M446" s="18"/>
    </x:row>
    <x:row r="447" ht="15" hidden="0" customHeight="1">
      <x:c r="A447" s="22"/>
      <x:c r="B447" s="18"/>
      <x:c r="C447" s="18"/>
      <x:c r="D447" s="18"/>
      <x:c r="E447" s="18" t="str">
        <x:f>IF($C447="","",XLOOKUP($C447,Products!$A$5:$A$34,Products!$B$5:$B$34,""))</x:f>
      </x:c>
      <x:c r="F447" s="18" t="str">
        <x:f>IF($C447="","",XLOOKUP($C447,Products!$A$5:$A$34,Products!$C$5:$C$34,""))</x:f>
      </x:c>
      <x:c r="G447" s="19" t="str">
        <x:f>IF($C447="","",XLOOKUP($C447,Products!$A$5:$A$34,Products!$F$5:$F$34,""))</x:f>
      </x:c>
      <x:c r="H447" s="19" t="str">
        <x:f>IF($C447="","",XLOOKUP($C447,Products!$A$5:$A$34,Products!$E$5:$E$34,""))</x:f>
      </x:c>
      <x:c r="I447" s="19" t="str">
        <x:f>IF(OR($C447="",$D447=""),"",($D447*$G447))</x:f>
      </x:c>
      <x:c r="J447" s="18"/>
      <x:c r="K447" s="19" t="str">
        <x:f>IF(OR($C447="",$D447=""),"",$I447-($D447*$H447))</x:f>
      </x:c>
      <x:c r="L447" s="18"/>
      <x:c r="M447" s="18"/>
    </x:row>
    <x:row r="448" ht="15" hidden="0" customHeight="1">
      <x:c r="A448" s="22"/>
      <x:c r="B448" s="18"/>
      <x:c r="C448" s="18"/>
      <x:c r="D448" s="18"/>
      <x:c r="E448" s="18" t="str">
        <x:f>IF($C448="","",XLOOKUP($C448,Products!$A$5:$A$34,Products!$B$5:$B$34,""))</x:f>
      </x:c>
      <x:c r="F448" s="18" t="str">
        <x:f>IF($C448="","",XLOOKUP($C448,Products!$A$5:$A$34,Products!$C$5:$C$34,""))</x:f>
      </x:c>
      <x:c r="G448" s="19" t="str">
        <x:f>IF($C448="","",XLOOKUP($C448,Products!$A$5:$A$34,Products!$F$5:$F$34,""))</x:f>
      </x:c>
      <x:c r="H448" s="19" t="str">
        <x:f>IF($C448="","",XLOOKUP($C448,Products!$A$5:$A$34,Products!$E$5:$E$34,""))</x:f>
      </x:c>
      <x:c r="I448" s="19" t="str">
        <x:f>IF(OR($C448="",$D448=""),"",($D448*$G448))</x:f>
      </x:c>
      <x:c r="J448" s="18"/>
      <x:c r="K448" s="19" t="str">
        <x:f>IF(OR($C448="",$D448=""),"",$I448-($D448*$H448))</x:f>
      </x:c>
      <x:c r="L448" s="18"/>
      <x:c r="M448" s="18"/>
    </x:row>
    <x:row r="449" ht="15" hidden="0" customHeight="1">
      <x:c r="A449" s="22"/>
      <x:c r="B449" s="18"/>
      <x:c r="C449" s="18"/>
      <x:c r="D449" s="18"/>
      <x:c r="E449" s="18" t="str">
        <x:f>IF($C449="","",XLOOKUP($C449,Products!$A$5:$A$34,Products!$B$5:$B$34,""))</x:f>
      </x:c>
      <x:c r="F449" s="18" t="str">
        <x:f>IF($C449="","",XLOOKUP($C449,Products!$A$5:$A$34,Products!$C$5:$C$34,""))</x:f>
      </x:c>
      <x:c r="G449" s="19" t="str">
        <x:f>IF($C449="","",XLOOKUP($C449,Products!$A$5:$A$34,Products!$F$5:$F$34,""))</x:f>
      </x:c>
      <x:c r="H449" s="19" t="str">
        <x:f>IF($C449="","",XLOOKUP($C449,Products!$A$5:$A$34,Products!$E$5:$E$34,""))</x:f>
      </x:c>
      <x:c r="I449" s="19" t="str">
        <x:f>IF(OR($C449="",$D449=""),"",($D449*$G449))</x:f>
      </x:c>
      <x:c r="J449" s="18"/>
      <x:c r="K449" s="19" t="str">
        <x:f>IF(OR($C449="",$D449=""),"",$I449-($D449*$H449))</x:f>
      </x:c>
      <x:c r="L449" s="18"/>
      <x:c r="M449" s="18"/>
    </x:row>
    <x:row r="450" ht="15" hidden="0" customHeight="1">
      <x:c r="A450" s="22"/>
      <x:c r="B450" s="18"/>
      <x:c r="C450" s="18"/>
      <x:c r="D450" s="18"/>
      <x:c r="E450" s="18" t="str">
        <x:f>IF($C450="","",XLOOKUP($C450,Products!$A$5:$A$34,Products!$B$5:$B$34,""))</x:f>
      </x:c>
      <x:c r="F450" s="18" t="str">
        <x:f>IF($C450="","",XLOOKUP($C450,Products!$A$5:$A$34,Products!$C$5:$C$34,""))</x:f>
      </x:c>
      <x:c r="G450" s="19" t="str">
        <x:f>IF($C450="","",XLOOKUP($C450,Products!$A$5:$A$34,Products!$F$5:$F$34,""))</x:f>
      </x:c>
      <x:c r="H450" s="19" t="str">
        <x:f>IF($C450="","",XLOOKUP($C450,Products!$A$5:$A$34,Products!$E$5:$E$34,""))</x:f>
      </x:c>
      <x:c r="I450" s="19" t="str">
        <x:f>IF(OR($C450="",$D450=""),"",($D450*$G450))</x:f>
      </x:c>
      <x:c r="J450" s="18"/>
      <x:c r="K450" s="19" t="str">
        <x:f>IF(OR($C450="",$D450=""),"",$I450-($D450*$H450))</x:f>
      </x:c>
      <x:c r="L450" s="18"/>
      <x:c r="M450" s="18"/>
    </x:row>
    <x:row r="451" ht="15" hidden="0" customHeight="1">
      <x:c r="A451" s="22"/>
      <x:c r="B451" s="18"/>
      <x:c r="C451" s="18"/>
      <x:c r="D451" s="18"/>
      <x:c r="E451" s="18" t="str">
        <x:f>IF($C451="","",XLOOKUP($C451,Products!$A$5:$A$34,Products!$B$5:$B$34,""))</x:f>
      </x:c>
      <x:c r="F451" s="18" t="str">
        <x:f>IF($C451="","",XLOOKUP($C451,Products!$A$5:$A$34,Products!$C$5:$C$34,""))</x:f>
      </x:c>
      <x:c r="G451" s="19" t="str">
        <x:f>IF($C451="","",XLOOKUP($C451,Products!$A$5:$A$34,Products!$F$5:$F$34,""))</x:f>
      </x:c>
      <x:c r="H451" s="19" t="str">
        <x:f>IF($C451="","",XLOOKUP($C451,Products!$A$5:$A$34,Products!$E$5:$E$34,""))</x:f>
      </x:c>
      <x:c r="I451" s="19" t="str">
        <x:f>IF(OR($C451="",$D451=""),"",($D451*$G451))</x:f>
      </x:c>
      <x:c r="J451" s="18"/>
      <x:c r="K451" s="19" t="str">
        <x:f>IF(OR($C451="",$D451=""),"",$I451-($D451*$H451))</x:f>
      </x:c>
      <x:c r="L451" s="18"/>
      <x:c r="M451" s="18"/>
    </x:row>
    <x:row r="452" ht="15" hidden="0" customHeight="1">
      <x:c r="A452" s="22"/>
      <x:c r="B452" s="18"/>
      <x:c r="C452" s="18"/>
      <x:c r="D452" s="18"/>
      <x:c r="E452" s="18" t="str">
        <x:f>IF($C452="","",XLOOKUP($C452,Products!$A$5:$A$34,Products!$B$5:$B$34,""))</x:f>
      </x:c>
      <x:c r="F452" s="18" t="str">
        <x:f>IF($C452="","",XLOOKUP($C452,Products!$A$5:$A$34,Products!$C$5:$C$34,""))</x:f>
      </x:c>
      <x:c r="G452" s="19" t="str">
        <x:f>IF($C452="","",XLOOKUP($C452,Products!$A$5:$A$34,Products!$F$5:$F$34,""))</x:f>
      </x:c>
      <x:c r="H452" s="19" t="str">
        <x:f>IF($C452="","",XLOOKUP($C452,Products!$A$5:$A$34,Products!$E$5:$E$34,""))</x:f>
      </x:c>
      <x:c r="I452" s="19" t="str">
        <x:f>IF(OR($C452="",$D452=""),"",($D452*$G452))</x:f>
      </x:c>
      <x:c r="J452" s="18"/>
      <x:c r="K452" s="19" t="str">
        <x:f>IF(OR($C452="",$D452=""),"",$I452-($D452*$H452))</x:f>
      </x:c>
      <x:c r="L452" s="18"/>
      <x:c r="M452" s="18"/>
    </x:row>
    <x:row r="453" ht="15" hidden="0" customHeight="1">
      <x:c r="A453" s="22"/>
      <x:c r="B453" s="18"/>
      <x:c r="C453" s="18"/>
      <x:c r="D453" s="18"/>
      <x:c r="E453" s="18" t="str">
        <x:f>IF($C453="","",XLOOKUP($C453,Products!$A$5:$A$34,Products!$B$5:$B$34,""))</x:f>
      </x:c>
      <x:c r="F453" s="18" t="str">
        <x:f>IF($C453="","",XLOOKUP($C453,Products!$A$5:$A$34,Products!$C$5:$C$34,""))</x:f>
      </x:c>
      <x:c r="G453" s="19" t="str">
        <x:f>IF($C453="","",XLOOKUP($C453,Products!$A$5:$A$34,Products!$F$5:$F$34,""))</x:f>
      </x:c>
      <x:c r="H453" s="19" t="str">
        <x:f>IF($C453="","",XLOOKUP($C453,Products!$A$5:$A$34,Products!$E$5:$E$34,""))</x:f>
      </x:c>
      <x:c r="I453" s="19" t="str">
        <x:f>IF(OR($C453="",$D453=""),"",($D453*$G453))</x:f>
      </x:c>
      <x:c r="J453" s="18"/>
      <x:c r="K453" s="19" t="str">
        <x:f>IF(OR($C453="",$D453=""),"",$I453-($D453*$H453))</x:f>
      </x:c>
      <x:c r="L453" s="18"/>
      <x:c r="M453" s="18"/>
    </x:row>
    <x:row r="454" ht="15" hidden="0" customHeight="1">
      <x:c r="A454" s="22"/>
      <x:c r="B454" s="18"/>
      <x:c r="C454" s="18"/>
      <x:c r="D454" s="18"/>
      <x:c r="E454" s="18" t="str">
        <x:f>IF($C454="","",XLOOKUP($C454,Products!$A$5:$A$34,Products!$B$5:$B$34,""))</x:f>
      </x:c>
      <x:c r="F454" s="18" t="str">
        <x:f>IF($C454="","",XLOOKUP($C454,Products!$A$5:$A$34,Products!$C$5:$C$34,""))</x:f>
      </x:c>
      <x:c r="G454" s="19" t="str">
        <x:f>IF($C454="","",XLOOKUP($C454,Products!$A$5:$A$34,Products!$F$5:$F$34,""))</x:f>
      </x:c>
      <x:c r="H454" s="19" t="str">
        <x:f>IF($C454="","",XLOOKUP($C454,Products!$A$5:$A$34,Products!$E$5:$E$34,""))</x:f>
      </x:c>
      <x:c r="I454" s="19" t="str">
        <x:f>IF(OR($C454="",$D454=""),"",($D454*$G454))</x:f>
      </x:c>
      <x:c r="J454" s="18"/>
      <x:c r="K454" s="19" t="str">
        <x:f>IF(OR($C454="",$D454=""),"",$I454-($D454*$H454))</x:f>
      </x:c>
      <x:c r="L454" s="18"/>
      <x:c r="M454" s="18"/>
    </x:row>
    <x:row r="455" ht="15" hidden="0" customHeight="1">
      <x:c r="A455" s="22"/>
      <x:c r="B455" s="18"/>
      <x:c r="C455" s="18"/>
      <x:c r="D455" s="18"/>
      <x:c r="E455" s="18" t="str">
        <x:f>IF($C455="","",XLOOKUP($C455,Products!$A$5:$A$34,Products!$B$5:$B$34,""))</x:f>
      </x:c>
      <x:c r="F455" s="18" t="str">
        <x:f>IF($C455="","",XLOOKUP($C455,Products!$A$5:$A$34,Products!$C$5:$C$34,""))</x:f>
      </x:c>
      <x:c r="G455" s="19" t="str">
        <x:f>IF($C455="","",XLOOKUP($C455,Products!$A$5:$A$34,Products!$F$5:$F$34,""))</x:f>
      </x:c>
      <x:c r="H455" s="19" t="str">
        <x:f>IF($C455="","",XLOOKUP($C455,Products!$A$5:$A$34,Products!$E$5:$E$34,""))</x:f>
      </x:c>
      <x:c r="I455" s="19" t="str">
        <x:f>IF(OR($C455="",$D455=""),"",($D455*$G455))</x:f>
      </x:c>
      <x:c r="J455" s="18"/>
      <x:c r="K455" s="19" t="str">
        <x:f>IF(OR($C455="",$D455=""),"",$I455-($D455*$H455))</x:f>
      </x:c>
      <x:c r="L455" s="18"/>
      <x:c r="M455" s="18"/>
    </x:row>
    <x:row r="456" ht="15" hidden="0" customHeight="1">
      <x:c r="A456" s="22"/>
      <x:c r="B456" s="18"/>
      <x:c r="C456" s="18"/>
      <x:c r="D456" s="18"/>
      <x:c r="E456" s="18" t="str">
        <x:f>IF($C456="","",XLOOKUP($C456,Products!$A$5:$A$34,Products!$B$5:$B$34,""))</x:f>
      </x:c>
      <x:c r="F456" s="18" t="str">
        <x:f>IF($C456="","",XLOOKUP($C456,Products!$A$5:$A$34,Products!$C$5:$C$34,""))</x:f>
      </x:c>
      <x:c r="G456" s="19" t="str">
        <x:f>IF($C456="","",XLOOKUP($C456,Products!$A$5:$A$34,Products!$F$5:$F$34,""))</x:f>
      </x:c>
      <x:c r="H456" s="19" t="str">
        <x:f>IF($C456="","",XLOOKUP($C456,Products!$A$5:$A$34,Products!$E$5:$E$34,""))</x:f>
      </x:c>
      <x:c r="I456" s="19" t="str">
        <x:f>IF(OR($C456="",$D456=""),"",($D456*$G456))</x:f>
      </x:c>
      <x:c r="J456" s="18"/>
      <x:c r="K456" s="19" t="str">
        <x:f>IF(OR($C456="",$D456=""),"",$I456-($D456*$H456))</x:f>
      </x:c>
      <x:c r="L456" s="18"/>
      <x:c r="M456" s="18"/>
    </x:row>
    <x:row r="457" ht="15" hidden="0" customHeight="1">
      <x:c r="A457" s="22"/>
      <x:c r="B457" s="18"/>
      <x:c r="C457" s="18"/>
      <x:c r="D457" s="18"/>
      <x:c r="E457" s="18" t="str">
        <x:f>IF($C457="","",XLOOKUP($C457,Products!$A$5:$A$34,Products!$B$5:$B$34,""))</x:f>
      </x:c>
      <x:c r="F457" s="18" t="str">
        <x:f>IF($C457="","",XLOOKUP($C457,Products!$A$5:$A$34,Products!$C$5:$C$34,""))</x:f>
      </x:c>
      <x:c r="G457" s="19" t="str">
        <x:f>IF($C457="","",XLOOKUP($C457,Products!$A$5:$A$34,Products!$F$5:$F$34,""))</x:f>
      </x:c>
      <x:c r="H457" s="19" t="str">
        <x:f>IF($C457="","",XLOOKUP($C457,Products!$A$5:$A$34,Products!$E$5:$E$34,""))</x:f>
      </x:c>
      <x:c r="I457" s="19" t="str">
        <x:f>IF(OR($C457="",$D457=""),"",($D457*$G457))</x:f>
      </x:c>
      <x:c r="J457" s="18"/>
      <x:c r="K457" s="19" t="str">
        <x:f>IF(OR($C457="",$D457=""),"",$I457-($D457*$H457))</x:f>
      </x:c>
      <x:c r="L457" s="18"/>
      <x:c r="M457" s="18"/>
    </x:row>
    <x:row r="458" ht="15" hidden="0" customHeight="1">
      <x:c r="A458" s="22"/>
      <x:c r="B458" s="18"/>
      <x:c r="C458" s="18"/>
      <x:c r="D458" s="18"/>
      <x:c r="E458" s="18" t="str">
        <x:f>IF($C458="","",XLOOKUP($C458,Products!$A$5:$A$34,Products!$B$5:$B$34,""))</x:f>
      </x:c>
      <x:c r="F458" s="18" t="str">
        <x:f>IF($C458="","",XLOOKUP($C458,Products!$A$5:$A$34,Products!$C$5:$C$34,""))</x:f>
      </x:c>
      <x:c r="G458" s="19" t="str">
        <x:f>IF($C458="","",XLOOKUP($C458,Products!$A$5:$A$34,Products!$F$5:$F$34,""))</x:f>
      </x:c>
      <x:c r="H458" s="19" t="str">
        <x:f>IF($C458="","",XLOOKUP($C458,Products!$A$5:$A$34,Products!$E$5:$E$34,""))</x:f>
      </x:c>
      <x:c r="I458" s="19" t="str">
        <x:f>IF(OR($C458="",$D458=""),"",($D458*$G458))</x:f>
      </x:c>
      <x:c r="J458" s="18"/>
      <x:c r="K458" s="19" t="str">
        <x:f>IF(OR($C458="",$D458=""),"",$I458-($D458*$H458))</x:f>
      </x:c>
      <x:c r="L458" s="18"/>
      <x:c r="M458" s="18"/>
    </x:row>
    <x:row r="459" ht="15" hidden="0" customHeight="1">
      <x:c r="A459" s="22"/>
      <x:c r="B459" s="18"/>
      <x:c r="C459" s="18"/>
      <x:c r="D459" s="18"/>
      <x:c r="E459" s="18" t="str">
        <x:f>IF($C459="","",XLOOKUP($C459,Products!$A$5:$A$34,Products!$B$5:$B$34,""))</x:f>
      </x:c>
      <x:c r="F459" s="18" t="str">
        <x:f>IF($C459="","",XLOOKUP($C459,Products!$A$5:$A$34,Products!$C$5:$C$34,""))</x:f>
      </x:c>
      <x:c r="G459" s="19" t="str">
        <x:f>IF($C459="","",XLOOKUP($C459,Products!$A$5:$A$34,Products!$F$5:$F$34,""))</x:f>
      </x:c>
      <x:c r="H459" s="19" t="str">
        <x:f>IF($C459="","",XLOOKUP($C459,Products!$A$5:$A$34,Products!$E$5:$E$34,""))</x:f>
      </x:c>
      <x:c r="I459" s="19" t="str">
        <x:f>IF(OR($C459="",$D459=""),"",($D459*$G459))</x:f>
      </x:c>
      <x:c r="J459" s="18"/>
      <x:c r="K459" s="19" t="str">
        <x:f>IF(OR($C459="",$D459=""),"",$I459-($D459*$H459))</x:f>
      </x:c>
      <x:c r="L459" s="18"/>
      <x:c r="M459" s="18"/>
    </x:row>
    <x:row r="460" ht="15" hidden="0" customHeight="1">
      <x:c r="A460" s="22"/>
      <x:c r="B460" s="18"/>
      <x:c r="C460" s="18"/>
      <x:c r="D460" s="18"/>
      <x:c r="E460" s="18" t="str">
        <x:f>IF($C460="","",XLOOKUP($C460,Products!$A$5:$A$34,Products!$B$5:$B$34,""))</x:f>
      </x:c>
      <x:c r="F460" s="18" t="str">
        <x:f>IF($C460="","",XLOOKUP($C460,Products!$A$5:$A$34,Products!$C$5:$C$34,""))</x:f>
      </x:c>
      <x:c r="G460" s="19" t="str">
        <x:f>IF($C460="","",XLOOKUP($C460,Products!$A$5:$A$34,Products!$F$5:$F$34,""))</x:f>
      </x:c>
      <x:c r="H460" s="19" t="str">
        <x:f>IF($C460="","",XLOOKUP($C460,Products!$A$5:$A$34,Products!$E$5:$E$34,""))</x:f>
      </x:c>
      <x:c r="I460" s="19" t="str">
        <x:f>IF(OR($C460="",$D460=""),"",($D460*$G460))</x:f>
      </x:c>
      <x:c r="J460" s="18"/>
      <x:c r="K460" s="19" t="str">
        <x:f>IF(OR($C460="",$D460=""),"",$I460-($D460*$H460))</x:f>
      </x:c>
      <x:c r="L460" s="18"/>
      <x:c r="M460" s="18"/>
    </x:row>
    <x:row r="461" ht="15" hidden="0" customHeight="1">
      <x:c r="A461" s="22"/>
      <x:c r="B461" s="18"/>
      <x:c r="C461" s="18"/>
      <x:c r="D461" s="18"/>
      <x:c r="E461" s="18" t="str">
        <x:f>IF($C461="","",XLOOKUP($C461,Products!$A$5:$A$34,Products!$B$5:$B$34,""))</x:f>
      </x:c>
      <x:c r="F461" s="18" t="str">
        <x:f>IF($C461="","",XLOOKUP($C461,Products!$A$5:$A$34,Products!$C$5:$C$34,""))</x:f>
      </x:c>
      <x:c r="G461" s="19" t="str">
        <x:f>IF($C461="","",XLOOKUP($C461,Products!$A$5:$A$34,Products!$F$5:$F$34,""))</x:f>
      </x:c>
      <x:c r="H461" s="19" t="str">
        <x:f>IF($C461="","",XLOOKUP($C461,Products!$A$5:$A$34,Products!$E$5:$E$34,""))</x:f>
      </x:c>
      <x:c r="I461" s="19" t="str">
        <x:f>IF(OR($C461="",$D461=""),"",($D461*$G461))</x:f>
      </x:c>
      <x:c r="J461" s="18"/>
      <x:c r="K461" s="19" t="str">
        <x:f>IF(OR($C461="",$D461=""),"",$I461-($D461*$H461))</x:f>
      </x:c>
      <x:c r="L461" s="18"/>
      <x:c r="M461" s="18"/>
    </x:row>
    <x:row r="462" ht="15" hidden="0" customHeight="1">
      <x:c r="A462" s="22"/>
      <x:c r="B462" s="18"/>
      <x:c r="C462" s="18"/>
      <x:c r="D462" s="18"/>
      <x:c r="E462" s="18" t="str">
        <x:f>IF($C462="","",XLOOKUP($C462,Products!$A$5:$A$34,Products!$B$5:$B$34,""))</x:f>
      </x:c>
      <x:c r="F462" s="18" t="str">
        <x:f>IF($C462="","",XLOOKUP($C462,Products!$A$5:$A$34,Products!$C$5:$C$34,""))</x:f>
      </x:c>
      <x:c r="G462" s="19" t="str">
        <x:f>IF($C462="","",XLOOKUP($C462,Products!$A$5:$A$34,Products!$F$5:$F$34,""))</x:f>
      </x:c>
      <x:c r="H462" s="19" t="str">
        <x:f>IF($C462="","",XLOOKUP($C462,Products!$A$5:$A$34,Products!$E$5:$E$34,""))</x:f>
      </x:c>
      <x:c r="I462" s="19" t="str">
        <x:f>IF(OR($C462="",$D462=""),"",($D462*$G462))</x:f>
      </x:c>
      <x:c r="J462" s="18"/>
      <x:c r="K462" s="19" t="str">
        <x:f>IF(OR($C462="",$D462=""),"",$I462-($D462*$H462))</x:f>
      </x:c>
      <x:c r="L462" s="18"/>
      <x:c r="M462" s="18"/>
    </x:row>
    <x:row r="463" ht="15" hidden="0" customHeight="1">
      <x:c r="A463" s="22"/>
      <x:c r="B463" s="18"/>
      <x:c r="C463" s="18"/>
      <x:c r="D463" s="18"/>
      <x:c r="E463" s="18" t="str">
        <x:f>IF($C463="","",XLOOKUP($C463,Products!$A$5:$A$34,Products!$B$5:$B$34,""))</x:f>
      </x:c>
      <x:c r="F463" s="18" t="str">
        <x:f>IF($C463="","",XLOOKUP($C463,Products!$A$5:$A$34,Products!$C$5:$C$34,""))</x:f>
      </x:c>
      <x:c r="G463" s="19" t="str">
        <x:f>IF($C463="","",XLOOKUP($C463,Products!$A$5:$A$34,Products!$F$5:$F$34,""))</x:f>
      </x:c>
      <x:c r="H463" s="19" t="str">
        <x:f>IF($C463="","",XLOOKUP($C463,Products!$A$5:$A$34,Products!$E$5:$E$34,""))</x:f>
      </x:c>
      <x:c r="I463" s="19" t="str">
        <x:f>IF(OR($C463="",$D463=""),"",($D463*$G463))</x:f>
      </x:c>
      <x:c r="J463" s="18"/>
      <x:c r="K463" s="19" t="str">
        <x:f>IF(OR($C463="",$D463=""),"",$I463-($D463*$H463))</x:f>
      </x:c>
      <x:c r="L463" s="18"/>
      <x:c r="M463" s="18"/>
    </x:row>
    <x:row r="464" ht="15" hidden="0" customHeight="1">
      <x:c r="A464" s="22"/>
      <x:c r="B464" s="18"/>
      <x:c r="C464" s="18"/>
      <x:c r="D464" s="18"/>
      <x:c r="E464" s="18" t="str">
        <x:f>IF($C464="","",XLOOKUP($C464,Products!$A$5:$A$34,Products!$B$5:$B$34,""))</x:f>
      </x:c>
      <x:c r="F464" s="18" t="str">
        <x:f>IF($C464="","",XLOOKUP($C464,Products!$A$5:$A$34,Products!$C$5:$C$34,""))</x:f>
      </x:c>
      <x:c r="G464" s="19" t="str">
        <x:f>IF($C464="","",XLOOKUP($C464,Products!$A$5:$A$34,Products!$F$5:$F$34,""))</x:f>
      </x:c>
      <x:c r="H464" s="19" t="str">
        <x:f>IF($C464="","",XLOOKUP($C464,Products!$A$5:$A$34,Products!$E$5:$E$34,""))</x:f>
      </x:c>
      <x:c r="I464" s="19" t="str">
        <x:f>IF(OR($C464="",$D464=""),"",($D464*$G464))</x:f>
      </x:c>
      <x:c r="J464" s="18"/>
      <x:c r="K464" s="19" t="str">
        <x:f>IF(OR($C464="",$D464=""),"",$I464-($D464*$H464))</x:f>
      </x:c>
      <x:c r="L464" s="18"/>
      <x:c r="M464" s="18"/>
    </x:row>
    <x:row r="465" ht="15" hidden="0" customHeight="1">
      <x:c r="A465" s="22"/>
      <x:c r="B465" s="18"/>
      <x:c r="C465" s="18"/>
      <x:c r="D465" s="18"/>
      <x:c r="E465" s="18" t="str">
        <x:f>IF($C465="","",XLOOKUP($C465,Products!$A$5:$A$34,Products!$B$5:$B$34,""))</x:f>
      </x:c>
      <x:c r="F465" s="18" t="str">
        <x:f>IF($C465="","",XLOOKUP($C465,Products!$A$5:$A$34,Products!$C$5:$C$34,""))</x:f>
      </x:c>
      <x:c r="G465" s="19" t="str">
        <x:f>IF($C465="","",XLOOKUP($C465,Products!$A$5:$A$34,Products!$F$5:$F$34,""))</x:f>
      </x:c>
      <x:c r="H465" s="19" t="str">
        <x:f>IF($C465="","",XLOOKUP($C465,Products!$A$5:$A$34,Products!$E$5:$E$34,""))</x:f>
      </x:c>
      <x:c r="I465" s="19" t="str">
        <x:f>IF(OR($C465="",$D465=""),"",($D465*$G465))</x:f>
      </x:c>
      <x:c r="J465" s="18"/>
      <x:c r="K465" s="19" t="str">
        <x:f>IF(OR($C465="",$D465=""),"",$I465-($D465*$H465))</x:f>
      </x:c>
      <x:c r="L465" s="18"/>
      <x:c r="M465" s="18"/>
    </x:row>
    <x:row r="466" ht="15" hidden="0" customHeight="1">
      <x:c r="A466" s="22"/>
      <x:c r="B466" s="18"/>
      <x:c r="C466" s="18"/>
      <x:c r="D466" s="18"/>
      <x:c r="E466" s="18" t="str">
        <x:f>IF($C466="","",XLOOKUP($C466,Products!$A$5:$A$34,Products!$B$5:$B$34,""))</x:f>
      </x:c>
      <x:c r="F466" s="18" t="str">
        <x:f>IF($C466="","",XLOOKUP($C466,Products!$A$5:$A$34,Products!$C$5:$C$34,""))</x:f>
      </x:c>
      <x:c r="G466" s="19" t="str">
        <x:f>IF($C466="","",XLOOKUP($C466,Products!$A$5:$A$34,Products!$F$5:$F$34,""))</x:f>
      </x:c>
      <x:c r="H466" s="19" t="str">
        <x:f>IF($C466="","",XLOOKUP($C466,Products!$A$5:$A$34,Products!$E$5:$E$34,""))</x:f>
      </x:c>
      <x:c r="I466" s="19" t="str">
        <x:f>IF(OR($C466="",$D466=""),"",($D466*$G466))</x:f>
      </x:c>
      <x:c r="J466" s="18"/>
      <x:c r="K466" s="19" t="str">
        <x:f>IF(OR($C466="",$D466=""),"",$I466-($D466*$H466))</x:f>
      </x:c>
      <x:c r="L466" s="18"/>
      <x:c r="M466" s="18"/>
    </x:row>
    <x:row r="467" ht="15" hidden="0" customHeight="1">
      <x:c r="A467" s="22"/>
      <x:c r="B467" s="18"/>
      <x:c r="C467" s="18"/>
      <x:c r="D467" s="18"/>
      <x:c r="E467" s="18" t="str">
        <x:f>IF($C467="","",XLOOKUP($C467,Products!$A$5:$A$34,Products!$B$5:$B$34,""))</x:f>
      </x:c>
      <x:c r="F467" s="18" t="str">
        <x:f>IF($C467="","",XLOOKUP($C467,Products!$A$5:$A$34,Products!$C$5:$C$34,""))</x:f>
      </x:c>
      <x:c r="G467" s="19" t="str">
        <x:f>IF($C467="","",XLOOKUP($C467,Products!$A$5:$A$34,Products!$F$5:$F$34,""))</x:f>
      </x:c>
      <x:c r="H467" s="19" t="str">
        <x:f>IF($C467="","",XLOOKUP($C467,Products!$A$5:$A$34,Products!$E$5:$E$34,""))</x:f>
      </x:c>
      <x:c r="I467" s="19" t="str">
        <x:f>IF(OR($C467="",$D467=""),"",($D467*$G467))</x:f>
      </x:c>
      <x:c r="J467" s="18"/>
      <x:c r="K467" s="19" t="str">
        <x:f>IF(OR($C467="",$D467=""),"",$I467-($D467*$H467))</x:f>
      </x:c>
      <x:c r="L467" s="18"/>
      <x:c r="M467" s="18"/>
    </x:row>
    <x:row r="468" ht="15" hidden="0" customHeight="1">
      <x:c r="A468" s="22"/>
      <x:c r="B468" s="18"/>
      <x:c r="C468" s="18"/>
      <x:c r="D468" s="18"/>
      <x:c r="E468" s="18" t="str">
        <x:f>IF($C468="","",XLOOKUP($C468,Products!$A$5:$A$34,Products!$B$5:$B$34,""))</x:f>
      </x:c>
      <x:c r="F468" s="18" t="str">
        <x:f>IF($C468="","",XLOOKUP($C468,Products!$A$5:$A$34,Products!$C$5:$C$34,""))</x:f>
      </x:c>
      <x:c r="G468" s="19" t="str">
        <x:f>IF($C468="","",XLOOKUP($C468,Products!$A$5:$A$34,Products!$F$5:$F$34,""))</x:f>
      </x:c>
      <x:c r="H468" s="19" t="str">
        <x:f>IF($C468="","",XLOOKUP($C468,Products!$A$5:$A$34,Products!$E$5:$E$34,""))</x:f>
      </x:c>
      <x:c r="I468" s="19" t="str">
        <x:f>IF(OR($C468="",$D468=""),"",($D468*$G468))</x:f>
      </x:c>
      <x:c r="J468" s="18"/>
      <x:c r="K468" s="19" t="str">
        <x:f>IF(OR($C468="",$D468=""),"",$I468-($D468*$H468))</x:f>
      </x:c>
      <x:c r="L468" s="18"/>
      <x:c r="M468" s="18"/>
    </x:row>
    <x:row r="469" ht="15" hidden="0" customHeight="1">
      <x:c r="A469" s="22"/>
      <x:c r="B469" s="18"/>
      <x:c r="C469" s="18"/>
      <x:c r="D469" s="18"/>
      <x:c r="E469" s="18" t="str">
        <x:f>IF($C469="","",XLOOKUP($C469,Products!$A$5:$A$34,Products!$B$5:$B$34,""))</x:f>
      </x:c>
      <x:c r="F469" s="18" t="str">
        <x:f>IF($C469="","",XLOOKUP($C469,Products!$A$5:$A$34,Products!$C$5:$C$34,""))</x:f>
      </x:c>
      <x:c r="G469" s="19" t="str">
        <x:f>IF($C469="","",XLOOKUP($C469,Products!$A$5:$A$34,Products!$F$5:$F$34,""))</x:f>
      </x:c>
      <x:c r="H469" s="19" t="str">
        <x:f>IF($C469="","",XLOOKUP($C469,Products!$A$5:$A$34,Products!$E$5:$E$34,""))</x:f>
      </x:c>
      <x:c r="I469" s="19" t="str">
        <x:f>IF(OR($C469="",$D469=""),"",($D469*$G469))</x:f>
      </x:c>
      <x:c r="J469" s="18"/>
      <x:c r="K469" s="19" t="str">
        <x:f>IF(OR($C469="",$D469=""),"",$I469-($D469*$H469))</x:f>
      </x:c>
      <x:c r="L469" s="18"/>
      <x:c r="M469" s="18"/>
    </x:row>
    <x:row r="470" ht="15" hidden="0" customHeight="1">
      <x:c r="A470" s="22"/>
      <x:c r="B470" s="18"/>
      <x:c r="C470" s="18"/>
      <x:c r="D470" s="18"/>
      <x:c r="E470" s="18" t="str">
        <x:f>IF($C470="","",XLOOKUP($C470,Products!$A$5:$A$34,Products!$B$5:$B$34,""))</x:f>
      </x:c>
      <x:c r="F470" s="18" t="str">
        <x:f>IF($C470="","",XLOOKUP($C470,Products!$A$5:$A$34,Products!$C$5:$C$34,""))</x:f>
      </x:c>
      <x:c r="G470" s="19" t="str">
        <x:f>IF($C470="","",XLOOKUP($C470,Products!$A$5:$A$34,Products!$F$5:$F$34,""))</x:f>
      </x:c>
      <x:c r="H470" s="19" t="str">
        <x:f>IF($C470="","",XLOOKUP($C470,Products!$A$5:$A$34,Products!$E$5:$E$34,""))</x:f>
      </x:c>
      <x:c r="I470" s="19" t="str">
        <x:f>IF(OR($C470="",$D470=""),"",($D470*$G470))</x:f>
      </x:c>
      <x:c r="J470" s="18"/>
      <x:c r="K470" s="19" t="str">
        <x:f>IF(OR($C470="",$D470=""),"",$I470-($D470*$H470))</x:f>
      </x:c>
      <x:c r="L470" s="18"/>
      <x:c r="M470" s="18"/>
    </x:row>
    <x:row r="471" ht="15" hidden="0" customHeight="1">
      <x:c r="A471" s="22"/>
      <x:c r="B471" s="18"/>
      <x:c r="C471" s="18"/>
      <x:c r="D471" s="18"/>
      <x:c r="E471" s="18" t="str">
        <x:f>IF($C471="","",XLOOKUP($C471,Products!$A$5:$A$34,Products!$B$5:$B$34,""))</x:f>
      </x:c>
      <x:c r="F471" s="18" t="str">
        <x:f>IF($C471="","",XLOOKUP($C471,Products!$A$5:$A$34,Products!$C$5:$C$34,""))</x:f>
      </x:c>
      <x:c r="G471" s="19" t="str">
        <x:f>IF($C471="","",XLOOKUP($C471,Products!$A$5:$A$34,Products!$F$5:$F$34,""))</x:f>
      </x:c>
      <x:c r="H471" s="19" t="str">
        <x:f>IF($C471="","",XLOOKUP($C471,Products!$A$5:$A$34,Products!$E$5:$E$34,""))</x:f>
      </x:c>
      <x:c r="I471" s="19" t="str">
        <x:f>IF(OR($C471="",$D471=""),"",($D471*$G471))</x:f>
      </x:c>
      <x:c r="J471" s="18"/>
      <x:c r="K471" s="19" t="str">
        <x:f>IF(OR($C471="",$D471=""),"",$I471-($D471*$H471))</x:f>
      </x:c>
      <x:c r="L471" s="18"/>
      <x:c r="M471" s="18"/>
    </x:row>
    <x:row r="472" ht="15" hidden="0" customHeight="1">
      <x:c r="A472" s="22"/>
      <x:c r="B472" s="18"/>
      <x:c r="C472" s="18"/>
      <x:c r="D472" s="18"/>
      <x:c r="E472" s="18" t="str">
        <x:f>IF($C472="","",XLOOKUP($C472,Products!$A$5:$A$34,Products!$B$5:$B$34,""))</x:f>
      </x:c>
      <x:c r="F472" s="18" t="str">
        <x:f>IF($C472="","",XLOOKUP($C472,Products!$A$5:$A$34,Products!$C$5:$C$34,""))</x:f>
      </x:c>
      <x:c r="G472" s="19" t="str">
        <x:f>IF($C472="","",XLOOKUP($C472,Products!$A$5:$A$34,Products!$F$5:$F$34,""))</x:f>
      </x:c>
      <x:c r="H472" s="19" t="str">
        <x:f>IF($C472="","",XLOOKUP($C472,Products!$A$5:$A$34,Products!$E$5:$E$34,""))</x:f>
      </x:c>
      <x:c r="I472" s="19" t="str">
        <x:f>IF(OR($C472="",$D472=""),"",($D472*$G472))</x:f>
      </x:c>
      <x:c r="J472" s="18"/>
      <x:c r="K472" s="19" t="str">
        <x:f>IF(OR($C472="",$D472=""),"",$I472-($D472*$H472))</x:f>
      </x:c>
      <x:c r="L472" s="18"/>
      <x:c r="M472" s="18"/>
    </x:row>
    <x:row r="473" ht="15" hidden="0" customHeight="1">
      <x:c r="A473" s="22"/>
      <x:c r="B473" s="18"/>
      <x:c r="C473" s="18"/>
      <x:c r="D473" s="18"/>
      <x:c r="E473" s="18" t="str">
        <x:f>IF($C473="","",XLOOKUP($C473,Products!$A$5:$A$34,Products!$B$5:$B$34,""))</x:f>
      </x:c>
      <x:c r="F473" s="18" t="str">
        <x:f>IF($C473="","",XLOOKUP($C473,Products!$A$5:$A$34,Products!$C$5:$C$34,""))</x:f>
      </x:c>
      <x:c r="G473" s="19" t="str">
        <x:f>IF($C473="","",XLOOKUP($C473,Products!$A$5:$A$34,Products!$F$5:$F$34,""))</x:f>
      </x:c>
      <x:c r="H473" s="19" t="str">
        <x:f>IF($C473="","",XLOOKUP($C473,Products!$A$5:$A$34,Products!$E$5:$E$34,""))</x:f>
      </x:c>
      <x:c r="I473" s="19" t="str">
        <x:f>IF(OR($C473="",$D473=""),"",($D473*$G473))</x:f>
      </x:c>
      <x:c r="J473" s="18"/>
      <x:c r="K473" s="19" t="str">
        <x:f>IF(OR($C473="",$D473=""),"",$I473-($D473*$H473))</x:f>
      </x:c>
      <x:c r="L473" s="18"/>
      <x:c r="M473" s="18"/>
    </x:row>
    <x:row r="474" ht="15" hidden="0" customHeight="1">
      <x:c r="A474" s="22"/>
      <x:c r="B474" s="18"/>
      <x:c r="C474" s="18"/>
      <x:c r="D474" s="18"/>
      <x:c r="E474" s="18" t="str">
        <x:f>IF($C474="","",XLOOKUP($C474,Products!$A$5:$A$34,Products!$B$5:$B$34,""))</x:f>
      </x:c>
      <x:c r="F474" s="18" t="str">
        <x:f>IF($C474="","",XLOOKUP($C474,Products!$A$5:$A$34,Products!$C$5:$C$34,""))</x:f>
      </x:c>
      <x:c r="G474" s="19" t="str">
        <x:f>IF($C474="","",XLOOKUP($C474,Products!$A$5:$A$34,Products!$F$5:$F$34,""))</x:f>
      </x:c>
      <x:c r="H474" s="19" t="str">
        <x:f>IF($C474="","",XLOOKUP($C474,Products!$A$5:$A$34,Products!$E$5:$E$34,""))</x:f>
      </x:c>
      <x:c r="I474" s="19" t="str">
        <x:f>IF(OR($C474="",$D474=""),"",($D474*$G474))</x:f>
      </x:c>
      <x:c r="J474" s="18"/>
      <x:c r="K474" s="19" t="str">
        <x:f>IF(OR($C474="",$D474=""),"",$I474-($D474*$H474))</x:f>
      </x:c>
      <x:c r="L474" s="18"/>
      <x:c r="M474" s="18"/>
    </x:row>
    <x:row r="475" ht="15" hidden="0" customHeight="1">
      <x:c r="A475" s="22"/>
      <x:c r="B475" s="18"/>
      <x:c r="C475" s="18"/>
      <x:c r="D475" s="18"/>
      <x:c r="E475" s="18" t="str">
        <x:f>IF($C475="","",XLOOKUP($C475,Products!$A$5:$A$34,Products!$B$5:$B$34,""))</x:f>
      </x:c>
      <x:c r="F475" s="18" t="str">
        <x:f>IF($C475="","",XLOOKUP($C475,Products!$A$5:$A$34,Products!$C$5:$C$34,""))</x:f>
      </x:c>
      <x:c r="G475" s="19" t="str">
        <x:f>IF($C475="","",XLOOKUP($C475,Products!$A$5:$A$34,Products!$F$5:$F$34,""))</x:f>
      </x:c>
      <x:c r="H475" s="19" t="str">
        <x:f>IF($C475="","",XLOOKUP($C475,Products!$A$5:$A$34,Products!$E$5:$E$34,""))</x:f>
      </x:c>
      <x:c r="I475" s="19" t="str">
        <x:f>IF(OR($C475="",$D475=""),"",($D475*$G475))</x:f>
      </x:c>
      <x:c r="J475" s="18"/>
      <x:c r="K475" s="19" t="str">
        <x:f>IF(OR($C475="",$D475=""),"",$I475-($D475*$H475))</x:f>
      </x:c>
      <x:c r="L475" s="18"/>
      <x:c r="M475" s="18"/>
    </x:row>
    <x:row r="476" ht="15" hidden="0" customHeight="1">
      <x:c r="A476" s="22"/>
      <x:c r="B476" s="18"/>
      <x:c r="C476" s="18"/>
      <x:c r="D476" s="18"/>
      <x:c r="E476" s="18" t="str">
        <x:f>IF($C476="","",XLOOKUP($C476,Products!$A$5:$A$34,Products!$B$5:$B$34,""))</x:f>
      </x:c>
      <x:c r="F476" s="18" t="str">
        <x:f>IF($C476="","",XLOOKUP($C476,Products!$A$5:$A$34,Products!$C$5:$C$34,""))</x:f>
      </x:c>
      <x:c r="G476" s="19" t="str">
        <x:f>IF($C476="","",XLOOKUP($C476,Products!$A$5:$A$34,Products!$F$5:$F$34,""))</x:f>
      </x:c>
      <x:c r="H476" s="19" t="str">
        <x:f>IF($C476="","",XLOOKUP($C476,Products!$A$5:$A$34,Products!$E$5:$E$34,""))</x:f>
      </x:c>
      <x:c r="I476" s="19" t="str">
        <x:f>IF(OR($C476="",$D476=""),"",($D476*$G476))</x:f>
      </x:c>
      <x:c r="J476" s="18"/>
      <x:c r="K476" s="19" t="str">
        <x:f>IF(OR($C476="",$D476=""),"",$I476-($D476*$H476))</x:f>
      </x:c>
      <x:c r="L476" s="18"/>
      <x:c r="M476" s="18"/>
    </x:row>
    <x:row r="477" ht="15" hidden="0" customHeight="1">
      <x:c r="A477" s="22"/>
      <x:c r="B477" s="18"/>
      <x:c r="C477" s="18"/>
      <x:c r="D477" s="18"/>
      <x:c r="E477" s="18" t="str">
        <x:f>IF($C477="","",XLOOKUP($C477,Products!$A$5:$A$34,Products!$B$5:$B$34,""))</x:f>
      </x:c>
      <x:c r="F477" s="18" t="str">
        <x:f>IF($C477="","",XLOOKUP($C477,Products!$A$5:$A$34,Products!$C$5:$C$34,""))</x:f>
      </x:c>
      <x:c r="G477" s="19" t="str">
        <x:f>IF($C477="","",XLOOKUP($C477,Products!$A$5:$A$34,Products!$F$5:$F$34,""))</x:f>
      </x:c>
      <x:c r="H477" s="19" t="str">
        <x:f>IF($C477="","",XLOOKUP($C477,Products!$A$5:$A$34,Products!$E$5:$E$34,""))</x:f>
      </x:c>
      <x:c r="I477" s="19" t="str">
        <x:f>IF(OR($C477="",$D477=""),"",($D477*$G477))</x:f>
      </x:c>
      <x:c r="J477" s="18"/>
      <x:c r="K477" s="19" t="str">
        <x:f>IF(OR($C477="",$D477=""),"",$I477-($D477*$H477))</x:f>
      </x:c>
      <x:c r="L477" s="18"/>
      <x:c r="M477" s="18"/>
    </x:row>
    <x:row r="478" ht="15" hidden="0" customHeight="1">
      <x:c r="A478" s="22"/>
      <x:c r="B478" s="18"/>
      <x:c r="C478" s="18"/>
      <x:c r="D478" s="18"/>
      <x:c r="E478" s="18" t="str">
        <x:f>IF($C478="","",XLOOKUP($C478,Products!$A$5:$A$34,Products!$B$5:$B$34,""))</x:f>
      </x:c>
      <x:c r="F478" s="18" t="str">
        <x:f>IF($C478="","",XLOOKUP($C478,Products!$A$5:$A$34,Products!$C$5:$C$34,""))</x:f>
      </x:c>
      <x:c r="G478" s="19" t="str">
        <x:f>IF($C478="","",XLOOKUP($C478,Products!$A$5:$A$34,Products!$F$5:$F$34,""))</x:f>
      </x:c>
      <x:c r="H478" s="19" t="str">
        <x:f>IF($C478="","",XLOOKUP($C478,Products!$A$5:$A$34,Products!$E$5:$E$34,""))</x:f>
      </x:c>
      <x:c r="I478" s="19" t="str">
        <x:f>IF(OR($C478="",$D478=""),"",($D478*$G478))</x:f>
      </x:c>
      <x:c r="J478" s="18"/>
      <x:c r="K478" s="19" t="str">
        <x:f>IF(OR($C478="",$D478=""),"",$I478-($D478*$H478))</x:f>
      </x:c>
      <x:c r="L478" s="18"/>
      <x:c r="M478" s="18"/>
    </x:row>
    <x:row r="479" ht="15" hidden="0" customHeight="1">
      <x:c r="A479" s="22"/>
      <x:c r="B479" s="18"/>
      <x:c r="C479" s="18"/>
      <x:c r="D479" s="18"/>
      <x:c r="E479" s="18" t="str">
        <x:f>IF($C479="","",XLOOKUP($C479,Products!$A$5:$A$34,Products!$B$5:$B$34,""))</x:f>
      </x:c>
      <x:c r="F479" s="18" t="str">
        <x:f>IF($C479="","",XLOOKUP($C479,Products!$A$5:$A$34,Products!$C$5:$C$34,""))</x:f>
      </x:c>
      <x:c r="G479" s="19" t="str">
        <x:f>IF($C479="","",XLOOKUP($C479,Products!$A$5:$A$34,Products!$F$5:$F$34,""))</x:f>
      </x:c>
      <x:c r="H479" s="19" t="str">
        <x:f>IF($C479="","",XLOOKUP($C479,Products!$A$5:$A$34,Products!$E$5:$E$34,""))</x:f>
      </x:c>
      <x:c r="I479" s="19" t="str">
        <x:f>IF(OR($C479="",$D479=""),"",($D479*$G479))</x:f>
      </x:c>
      <x:c r="J479" s="18"/>
      <x:c r="K479" s="19" t="str">
        <x:f>IF(OR($C479="",$D479=""),"",$I479-($D479*$H479))</x:f>
      </x:c>
      <x:c r="L479" s="18"/>
      <x:c r="M479" s="18"/>
    </x:row>
    <x:row r="480" ht="15" hidden="0" customHeight="1">
      <x:c r="A480" s="22"/>
      <x:c r="B480" s="18"/>
      <x:c r="C480" s="18"/>
      <x:c r="D480" s="18"/>
      <x:c r="E480" s="18" t="str">
        <x:f>IF($C480="","",XLOOKUP($C480,Products!$A$5:$A$34,Products!$B$5:$B$34,""))</x:f>
      </x:c>
      <x:c r="F480" s="18" t="str">
        <x:f>IF($C480="","",XLOOKUP($C480,Products!$A$5:$A$34,Products!$C$5:$C$34,""))</x:f>
      </x:c>
      <x:c r="G480" s="19" t="str">
        <x:f>IF($C480="","",XLOOKUP($C480,Products!$A$5:$A$34,Products!$F$5:$F$34,""))</x:f>
      </x:c>
      <x:c r="H480" s="19" t="str">
        <x:f>IF($C480="","",XLOOKUP($C480,Products!$A$5:$A$34,Products!$E$5:$E$34,""))</x:f>
      </x:c>
      <x:c r="I480" s="19" t="str">
        <x:f>IF(OR($C480="",$D480=""),"",($D480*$G480))</x:f>
      </x:c>
      <x:c r="J480" s="18"/>
      <x:c r="K480" s="19" t="str">
        <x:f>IF(OR($C480="",$D480=""),"",$I480-($D480*$H480))</x:f>
      </x:c>
      <x:c r="L480" s="18"/>
      <x:c r="M480" s="18"/>
    </x:row>
    <x:row r="481" ht="15" hidden="0" customHeight="1">
      <x:c r="A481" s="22"/>
      <x:c r="B481" s="18"/>
      <x:c r="C481" s="18"/>
      <x:c r="D481" s="18"/>
      <x:c r="E481" s="18" t="str">
        <x:f>IF($C481="","",XLOOKUP($C481,Products!$A$5:$A$34,Products!$B$5:$B$34,""))</x:f>
      </x:c>
      <x:c r="F481" s="18" t="str">
        <x:f>IF($C481="","",XLOOKUP($C481,Products!$A$5:$A$34,Products!$C$5:$C$34,""))</x:f>
      </x:c>
      <x:c r="G481" s="19" t="str">
        <x:f>IF($C481="","",XLOOKUP($C481,Products!$A$5:$A$34,Products!$F$5:$F$34,""))</x:f>
      </x:c>
      <x:c r="H481" s="19" t="str">
        <x:f>IF($C481="","",XLOOKUP($C481,Products!$A$5:$A$34,Products!$E$5:$E$34,""))</x:f>
      </x:c>
      <x:c r="I481" s="19" t="str">
        <x:f>IF(OR($C481="",$D481=""),"",($D481*$G481))</x:f>
      </x:c>
      <x:c r="J481" s="18"/>
      <x:c r="K481" s="19" t="str">
        <x:f>IF(OR($C481="",$D481=""),"",$I481-($D481*$H481))</x:f>
      </x:c>
      <x:c r="L481" s="18"/>
      <x:c r="M481" s="18"/>
    </x:row>
    <x:row r="482" ht="15" hidden="0" customHeight="1">
      <x:c r="A482" s="22"/>
      <x:c r="B482" s="18"/>
      <x:c r="C482" s="18"/>
      <x:c r="D482" s="18"/>
      <x:c r="E482" s="18" t="str">
        <x:f>IF($C482="","",XLOOKUP($C482,Products!$A$5:$A$34,Products!$B$5:$B$34,""))</x:f>
      </x:c>
      <x:c r="F482" s="18" t="str">
        <x:f>IF($C482="","",XLOOKUP($C482,Products!$A$5:$A$34,Products!$C$5:$C$34,""))</x:f>
      </x:c>
      <x:c r="G482" s="19" t="str">
        <x:f>IF($C482="","",XLOOKUP($C482,Products!$A$5:$A$34,Products!$F$5:$F$34,""))</x:f>
      </x:c>
      <x:c r="H482" s="19" t="str">
        <x:f>IF($C482="","",XLOOKUP($C482,Products!$A$5:$A$34,Products!$E$5:$E$34,""))</x:f>
      </x:c>
      <x:c r="I482" s="19" t="str">
        <x:f>IF(OR($C482="",$D482=""),"",($D482*$G482))</x:f>
      </x:c>
      <x:c r="J482" s="18"/>
      <x:c r="K482" s="19" t="str">
        <x:f>IF(OR($C482="",$D482=""),"",$I482-($D482*$H482))</x:f>
      </x:c>
      <x:c r="L482" s="18"/>
      <x:c r="M482" s="18"/>
    </x:row>
    <x:row r="483" ht="15" hidden="0" customHeight="1">
      <x:c r="A483" s="22"/>
      <x:c r="B483" s="18"/>
      <x:c r="C483" s="18"/>
      <x:c r="D483" s="18"/>
      <x:c r="E483" s="18" t="str">
        <x:f>IF($C483="","",XLOOKUP($C483,Products!$A$5:$A$34,Products!$B$5:$B$34,""))</x:f>
      </x:c>
      <x:c r="F483" s="18" t="str">
        <x:f>IF($C483="","",XLOOKUP($C483,Products!$A$5:$A$34,Products!$C$5:$C$34,""))</x:f>
      </x:c>
      <x:c r="G483" s="19" t="str">
        <x:f>IF($C483="","",XLOOKUP($C483,Products!$A$5:$A$34,Products!$F$5:$F$34,""))</x:f>
      </x:c>
      <x:c r="H483" s="19" t="str">
        <x:f>IF($C483="","",XLOOKUP($C483,Products!$A$5:$A$34,Products!$E$5:$E$34,""))</x:f>
      </x:c>
      <x:c r="I483" s="19" t="str">
        <x:f>IF(OR($C483="",$D483=""),"",($D483*$G483))</x:f>
      </x:c>
      <x:c r="J483" s="18"/>
      <x:c r="K483" s="19" t="str">
        <x:f>IF(OR($C483="",$D483=""),"",$I483-($D483*$H483))</x:f>
      </x:c>
      <x:c r="L483" s="18"/>
      <x:c r="M483" s="18"/>
    </x:row>
    <x:row r="484" ht="15" hidden="0" customHeight="1">
      <x:c r="A484" s="22"/>
      <x:c r="B484" s="18"/>
      <x:c r="C484" s="18"/>
      <x:c r="D484" s="18"/>
      <x:c r="E484" s="18" t="str">
        <x:f>IF($C484="","",XLOOKUP($C484,Products!$A$5:$A$34,Products!$B$5:$B$34,""))</x:f>
      </x:c>
      <x:c r="F484" s="18" t="str">
        <x:f>IF($C484="","",XLOOKUP($C484,Products!$A$5:$A$34,Products!$C$5:$C$34,""))</x:f>
      </x:c>
      <x:c r="G484" s="19" t="str">
        <x:f>IF($C484="","",XLOOKUP($C484,Products!$A$5:$A$34,Products!$F$5:$F$34,""))</x:f>
      </x:c>
      <x:c r="H484" s="19" t="str">
        <x:f>IF($C484="","",XLOOKUP($C484,Products!$A$5:$A$34,Products!$E$5:$E$34,""))</x:f>
      </x:c>
      <x:c r="I484" s="19" t="str">
        <x:f>IF(OR($C484="",$D484=""),"",($D484*$G484))</x:f>
      </x:c>
      <x:c r="J484" s="18"/>
      <x:c r="K484" s="19" t="str">
        <x:f>IF(OR($C484="",$D484=""),"",$I484-($D484*$H484))</x:f>
      </x:c>
      <x:c r="L484" s="18"/>
      <x:c r="M484" s="18"/>
    </x:row>
    <x:row r="485" ht="15" hidden="0" customHeight="1">
      <x:c r="A485" s="22"/>
      <x:c r="B485" s="18"/>
      <x:c r="C485" s="18"/>
      <x:c r="D485" s="18"/>
      <x:c r="E485" s="18" t="str">
        <x:f>IF($C485="","",XLOOKUP($C485,Products!$A$5:$A$34,Products!$B$5:$B$34,""))</x:f>
      </x:c>
      <x:c r="F485" s="18" t="str">
        <x:f>IF($C485="","",XLOOKUP($C485,Products!$A$5:$A$34,Products!$C$5:$C$34,""))</x:f>
      </x:c>
      <x:c r="G485" s="19" t="str">
        <x:f>IF($C485="","",XLOOKUP($C485,Products!$A$5:$A$34,Products!$F$5:$F$34,""))</x:f>
      </x:c>
      <x:c r="H485" s="19" t="str">
        <x:f>IF($C485="","",XLOOKUP($C485,Products!$A$5:$A$34,Products!$E$5:$E$34,""))</x:f>
      </x:c>
      <x:c r="I485" s="19" t="str">
        <x:f>IF(OR($C485="",$D485=""),"",($D485*$G485))</x:f>
      </x:c>
      <x:c r="J485" s="18"/>
      <x:c r="K485" s="19" t="str">
        <x:f>IF(OR($C485="",$D485=""),"",$I485-($D485*$H485))</x:f>
      </x:c>
      <x:c r="L485" s="18"/>
      <x:c r="M485" s="18"/>
    </x:row>
    <x:row r="486" ht="15" hidden="0" customHeight="1">
      <x:c r="A486" s="22"/>
      <x:c r="B486" s="18"/>
      <x:c r="C486" s="18"/>
      <x:c r="D486" s="18"/>
      <x:c r="E486" s="18" t="str">
        <x:f>IF($C486="","",XLOOKUP($C486,Products!$A$5:$A$34,Products!$B$5:$B$34,""))</x:f>
      </x:c>
      <x:c r="F486" s="18" t="str">
        <x:f>IF($C486="","",XLOOKUP($C486,Products!$A$5:$A$34,Products!$C$5:$C$34,""))</x:f>
      </x:c>
      <x:c r="G486" s="19" t="str">
        <x:f>IF($C486="","",XLOOKUP($C486,Products!$A$5:$A$34,Products!$F$5:$F$34,""))</x:f>
      </x:c>
      <x:c r="H486" s="19" t="str">
        <x:f>IF($C486="","",XLOOKUP($C486,Products!$A$5:$A$34,Products!$E$5:$E$34,""))</x:f>
      </x:c>
      <x:c r="I486" s="19" t="str">
        <x:f>IF(OR($C486="",$D486=""),"",($D486*$G486))</x:f>
      </x:c>
      <x:c r="J486" s="18"/>
      <x:c r="K486" s="19" t="str">
        <x:f>IF(OR($C486="",$D486=""),"",$I486-($D486*$H486))</x:f>
      </x:c>
      <x:c r="L486" s="18"/>
      <x:c r="M486" s="18"/>
    </x:row>
    <x:row r="487" ht="15" hidden="0" customHeight="1">
      <x:c r="A487" s="22"/>
      <x:c r="B487" s="18"/>
      <x:c r="C487" s="18"/>
      <x:c r="D487" s="18"/>
      <x:c r="E487" s="18" t="str">
        <x:f>IF($C487="","",XLOOKUP($C487,Products!$A$5:$A$34,Products!$B$5:$B$34,""))</x:f>
      </x:c>
      <x:c r="F487" s="18" t="str">
        <x:f>IF($C487="","",XLOOKUP($C487,Products!$A$5:$A$34,Products!$C$5:$C$34,""))</x:f>
      </x:c>
      <x:c r="G487" s="19" t="str">
        <x:f>IF($C487="","",XLOOKUP($C487,Products!$A$5:$A$34,Products!$F$5:$F$34,""))</x:f>
      </x:c>
      <x:c r="H487" s="19" t="str">
        <x:f>IF($C487="","",XLOOKUP($C487,Products!$A$5:$A$34,Products!$E$5:$E$34,""))</x:f>
      </x:c>
      <x:c r="I487" s="19" t="str">
        <x:f>IF(OR($C487="",$D487=""),"",($D487*$G487))</x:f>
      </x:c>
      <x:c r="J487" s="18"/>
      <x:c r="K487" s="19" t="str">
        <x:f>IF(OR($C487="",$D487=""),"",$I487-($D487*$H487))</x:f>
      </x:c>
      <x:c r="L487" s="18"/>
      <x:c r="M487" s="18"/>
    </x:row>
    <x:row r="488" ht="15" hidden="0" customHeight="1">
      <x:c r="A488" s="22"/>
      <x:c r="B488" s="18"/>
      <x:c r="C488" s="18"/>
      <x:c r="D488" s="18"/>
      <x:c r="E488" s="18" t="str">
        <x:f>IF($C488="","",XLOOKUP($C488,Products!$A$5:$A$34,Products!$B$5:$B$34,""))</x:f>
      </x:c>
      <x:c r="F488" s="18" t="str">
        <x:f>IF($C488="","",XLOOKUP($C488,Products!$A$5:$A$34,Products!$C$5:$C$34,""))</x:f>
      </x:c>
      <x:c r="G488" s="19" t="str">
        <x:f>IF($C488="","",XLOOKUP($C488,Products!$A$5:$A$34,Products!$F$5:$F$34,""))</x:f>
      </x:c>
      <x:c r="H488" s="19" t="str">
        <x:f>IF($C488="","",XLOOKUP($C488,Products!$A$5:$A$34,Products!$E$5:$E$34,""))</x:f>
      </x:c>
      <x:c r="I488" s="19" t="str">
        <x:f>IF(OR($C488="",$D488=""),"",($D488*$G488))</x:f>
      </x:c>
      <x:c r="J488" s="18"/>
      <x:c r="K488" s="19" t="str">
        <x:f>IF(OR($C488="",$D488=""),"",$I488-($D488*$H488))</x:f>
      </x:c>
      <x:c r="L488" s="18"/>
      <x:c r="M488" s="18"/>
    </x:row>
    <x:row r="489" ht="15" hidden="0" customHeight="1">
      <x:c r="A489" s="22"/>
      <x:c r="B489" s="18"/>
      <x:c r="C489" s="18"/>
      <x:c r="D489" s="18"/>
      <x:c r="E489" s="18" t="str">
        <x:f>IF($C489="","",XLOOKUP($C489,Products!$A$5:$A$34,Products!$B$5:$B$34,""))</x:f>
      </x:c>
      <x:c r="F489" s="18" t="str">
        <x:f>IF($C489="","",XLOOKUP($C489,Products!$A$5:$A$34,Products!$C$5:$C$34,""))</x:f>
      </x:c>
      <x:c r="G489" s="19" t="str">
        <x:f>IF($C489="","",XLOOKUP($C489,Products!$A$5:$A$34,Products!$F$5:$F$34,""))</x:f>
      </x:c>
      <x:c r="H489" s="19" t="str">
        <x:f>IF($C489="","",XLOOKUP($C489,Products!$A$5:$A$34,Products!$E$5:$E$34,""))</x:f>
      </x:c>
      <x:c r="I489" s="19" t="str">
        <x:f>IF(OR($C489="",$D489=""),"",($D489*$G489))</x:f>
      </x:c>
      <x:c r="J489" s="18"/>
      <x:c r="K489" s="19" t="str">
        <x:f>IF(OR($C489="",$D489=""),"",$I489-($D489*$H489))</x:f>
      </x:c>
      <x:c r="L489" s="18"/>
      <x:c r="M489" s="18"/>
    </x:row>
    <x:row r="490" ht="15" hidden="0" customHeight="1">
      <x:c r="A490" s="22"/>
      <x:c r="B490" s="18"/>
      <x:c r="C490" s="18"/>
      <x:c r="D490" s="18"/>
      <x:c r="E490" s="18" t="str">
        <x:f>IF($C490="","",XLOOKUP($C490,Products!$A$5:$A$34,Products!$B$5:$B$34,""))</x:f>
      </x:c>
      <x:c r="F490" s="18" t="str">
        <x:f>IF($C490="","",XLOOKUP($C490,Products!$A$5:$A$34,Products!$C$5:$C$34,""))</x:f>
      </x:c>
      <x:c r="G490" s="19" t="str">
        <x:f>IF($C490="","",XLOOKUP($C490,Products!$A$5:$A$34,Products!$F$5:$F$34,""))</x:f>
      </x:c>
      <x:c r="H490" s="19" t="str">
        <x:f>IF($C490="","",XLOOKUP($C490,Products!$A$5:$A$34,Products!$E$5:$E$34,""))</x:f>
      </x:c>
      <x:c r="I490" s="19" t="str">
        <x:f>IF(OR($C490="",$D490=""),"",($D490*$G490))</x:f>
      </x:c>
      <x:c r="J490" s="18"/>
      <x:c r="K490" s="19" t="str">
        <x:f>IF(OR($C490="",$D490=""),"",$I490-($D490*$H490))</x:f>
      </x:c>
      <x:c r="L490" s="18"/>
      <x:c r="M490" s="18"/>
    </x:row>
    <x:row r="491" ht="15" hidden="0" customHeight="1">
      <x:c r="A491" s="22"/>
      <x:c r="B491" s="18"/>
      <x:c r="C491" s="18"/>
      <x:c r="D491" s="18"/>
      <x:c r="E491" s="18" t="str">
        <x:f>IF($C491="","",XLOOKUP($C491,Products!$A$5:$A$34,Products!$B$5:$B$34,""))</x:f>
      </x:c>
      <x:c r="F491" s="18" t="str">
        <x:f>IF($C491="","",XLOOKUP($C491,Products!$A$5:$A$34,Products!$C$5:$C$34,""))</x:f>
      </x:c>
      <x:c r="G491" s="19" t="str">
        <x:f>IF($C491="","",XLOOKUP($C491,Products!$A$5:$A$34,Products!$F$5:$F$34,""))</x:f>
      </x:c>
      <x:c r="H491" s="19" t="str">
        <x:f>IF($C491="","",XLOOKUP($C491,Products!$A$5:$A$34,Products!$E$5:$E$34,""))</x:f>
      </x:c>
      <x:c r="I491" s="19" t="str">
        <x:f>IF(OR($C491="",$D491=""),"",($D491*$G491))</x:f>
      </x:c>
      <x:c r="J491" s="18"/>
      <x:c r="K491" s="19" t="str">
        <x:f>IF(OR($C491="",$D491=""),"",$I491-($D491*$H491))</x:f>
      </x:c>
      <x:c r="L491" s="18"/>
      <x:c r="M491" s="18"/>
    </x:row>
    <x:row r="492" ht="15" hidden="0" customHeight="1">
      <x:c r="A492" s="22"/>
      <x:c r="B492" s="18"/>
      <x:c r="C492" s="18"/>
      <x:c r="D492" s="18"/>
      <x:c r="E492" s="18" t="str">
        <x:f>IF($C492="","",XLOOKUP($C492,Products!$A$5:$A$34,Products!$B$5:$B$34,""))</x:f>
      </x:c>
      <x:c r="F492" s="18" t="str">
        <x:f>IF($C492="","",XLOOKUP($C492,Products!$A$5:$A$34,Products!$C$5:$C$34,""))</x:f>
      </x:c>
      <x:c r="G492" s="19" t="str">
        <x:f>IF($C492="","",XLOOKUP($C492,Products!$A$5:$A$34,Products!$F$5:$F$34,""))</x:f>
      </x:c>
      <x:c r="H492" s="19" t="str">
        <x:f>IF($C492="","",XLOOKUP($C492,Products!$A$5:$A$34,Products!$E$5:$E$34,""))</x:f>
      </x:c>
      <x:c r="I492" s="19" t="str">
        <x:f>IF(OR($C492="",$D492=""),"",($D492*$G492))</x:f>
      </x:c>
      <x:c r="J492" s="18"/>
      <x:c r="K492" s="19" t="str">
        <x:f>IF(OR($C492="",$D492=""),"",$I492-($D492*$H492))</x:f>
      </x:c>
      <x:c r="L492" s="18"/>
      <x:c r="M492" s="18"/>
    </x:row>
    <x:row r="493" ht="15" hidden="0" customHeight="1">
      <x:c r="A493" s="22"/>
      <x:c r="B493" s="18"/>
      <x:c r="C493" s="18"/>
      <x:c r="D493" s="18"/>
      <x:c r="E493" s="18" t="str">
        <x:f>IF($C493="","",XLOOKUP($C493,Products!$A$5:$A$34,Products!$B$5:$B$34,""))</x:f>
      </x:c>
      <x:c r="F493" s="18" t="str">
        <x:f>IF($C493="","",XLOOKUP($C493,Products!$A$5:$A$34,Products!$C$5:$C$34,""))</x:f>
      </x:c>
      <x:c r="G493" s="19" t="str">
        <x:f>IF($C493="","",XLOOKUP($C493,Products!$A$5:$A$34,Products!$F$5:$F$34,""))</x:f>
      </x:c>
      <x:c r="H493" s="19" t="str">
        <x:f>IF($C493="","",XLOOKUP($C493,Products!$A$5:$A$34,Products!$E$5:$E$34,""))</x:f>
      </x:c>
      <x:c r="I493" s="19" t="str">
        <x:f>IF(OR($C493="",$D493=""),"",($D493*$G493))</x:f>
      </x:c>
      <x:c r="J493" s="18"/>
      <x:c r="K493" s="19" t="str">
        <x:f>IF(OR($C493="",$D493=""),"",$I493-($D493*$H493))</x:f>
      </x:c>
      <x:c r="L493" s="18"/>
      <x:c r="M493" s="18"/>
    </x:row>
    <x:row r="494" ht="15" hidden="0" customHeight="1">
      <x:c r="A494" s="22"/>
      <x:c r="B494" s="18"/>
      <x:c r="C494" s="18"/>
      <x:c r="D494" s="18"/>
      <x:c r="E494" s="18" t="str">
        <x:f>IF($C494="","",XLOOKUP($C494,Products!$A$5:$A$34,Products!$B$5:$B$34,""))</x:f>
      </x:c>
      <x:c r="F494" s="18" t="str">
        <x:f>IF($C494="","",XLOOKUP($C494,Products!$A$5:$A$34,Products!$C$5:$C$34,""))</x:f>
      </x:c>
      <x:c r="G494" s="19" t="str">
        <x:f>IF($C494="","",XLOOKUP($C494,Products!$A$5:$A$34,Products!$F$5:$F$34,""))</x:f>
      </x:c>
      <x:c r="H494" s="19" t="str">
        <x:f>IF($C494="","",XLOOKUP($C494,Products!$A$5:$A$34,Products!$E$5:$E$34,""))</x:f>
      </x:c>
      <x:c r="I494" s="19" t="str">
        <x:f>IF(OR($C494="",$D494=""),"",($D494*$G494))</x:f>
      </x:c>
      <x:c r="J494" s="18"/>
      <x:c r="K494" s="19" t="str">
        <x:f>IF(OR($C494="",$D494=""),"",$I494-($D494*$H494))</x:f>
      </x:c>
      <x:c r="L494" s="18"/>
      <x:c r="M494" s="18"/>
    </x:row>
    <x:row r="495" ht="15" hidden="0" customHeight="1">
      <x:c r="A495" s="22"/>
      <x:c r="B495" s="18"/>
      <x:c r="C495" s="18"/>
      <x:c r="D495" s="18"/>
      <x:c r="E495" s="18" t="str">
        <x:f>IF($C495="","",XLOOKUP($C495,Products!$A$5:$A$34,Products!$B$5:$B$34,""))</x:f>
      </x:c>
      <x:c r="F495" s="18" t="str">
        <x:f>IF($C495="","",XLOOKUP($C495,Products!$A$5:$A$34,Products!$C$5:$C$34,""))</x:f>
      </x:c>
      <x:c r="G495" s="19" t="str">
        <x:f>IF($C495="","",XLOOKUP($C495,Products!$A$5:$A$34,Products!$F$5:$F$34,""))</x:f>
      </x:c>
      <x:c r="H495" s="19" t="str">
        <x:f>IF($C495="","",XLOOKUP($C495,Products!$A$5:$A$34,Products!$E$5:$E$34,""))</x:f>
      </x:c>
      <x:c r="I495" s="19" t="str">
        <x:f>IF(OR($C495="",$D495=""),"",($D495*$G495))</x:f>
      </x:c>
      <x:c r="J495" s="18"/>
      <x:c r="K495" s="19" t="str">
        <x:f>IF(OR($C495="",$D495=""),"",$I495-($D495*$H495))</x:f>
      </x:c>
      <x:c r="L495" s="18"/>
      <x:c r="M495" s="18"/>
    </x:row>
    <x:row r="496" ht="15" hidden="0" customHeight="1">
      <x:c r="A496" s="22"/>
      <x:c r="B496" s="18"/>
      <x:c r="C496" s="18"/>
      <x:c r="D496" s="18"/>
      <x:c r="E496" s="18" t="str">
        <x:f>IF($C496="","",XLOOKUP($C496,Products!$A$5:$A$34,Products!$B$5:$B$34,""))</x:f>
      </x:c>
      <x:c r="F496" s="18" t="str">
        <x:f>IF($C496="","",XLOOKUP($C496,Products!$A$5:$A$34,Products!$C$5:$C$34,""))</x:f>
      </x:c>
      <x:c r="G496" s="19" t="str">
        <x:f>IF($C496="","",XLOOKUP($C496,Products!$A$5:$A$34,Products!$F$5:$F$34,""))</x:f>
      </x:c>
      <x:c r="H496" s="19" t="str">
        <x:f>IF($C496="","",XLOOKUP($C496,Products!$A$5:$A$34,Products!$E$5:$E$34,""))</x:f>
      </x:c>
      <x:c r="I496" s="19" t="str">
        <x:f>IF(OR($C496="",$D496=""),"",($D496*$G496))</x:f>
      </x:c>
      <x:c r="J496" s="18"/>
      <x:c r="K496" s="19" t="str">
        <x:f>IF(OR($C496="",$D496=""),"",$I496-($D496*$H496))</x:f>
      </x:c>
      <x:c r="L496" s="18"/>
      <x:c r="M496" s="18"/>
    </x:row>
    <x:row r="497" ht="15" hidden="0" customHeight="1">
      <x:c r="A497" s="22"/>
      <x:c r="B497" s="18"/>
      <x:c r="C497" s="18"/>
      <x:c r="D497" s="18"/>
      <x:c r="E497" s="18" t="str">
        <x:f>IF($C497="","",XLOOKUP($C497,Products!$A$5:$A$34,Products!$B$5:$B$34,""))</x:f>
      </x:c>
      <x:c r="F497" s="18" t="str">
        <x:f>IF($C497="","",XLOOKUP($C497,Products!$A$5:$A$34,Products!$C$5:$C$34,""))</x:f>
      </x:c>
      <x:c r="G497" s="19" t="str">
        <x:f>IF($C497="","",XLOOKUP($C497,Products!$A$5:$A$34,Products!$F$5:$F$34,""))</x:f>
      </x:c>
      <x:c r="H497" s="19" t="str">
        <x:f>IF($C497="","",XLOOKUP($C497,Products!$A$5:$A$34,Products!$E$5:$E$34,""))</x:f>
      </x:c>
      <x:c r="I497" s="19" t="str">
        <x:f>IF(OR($C497="",$D497=""),"",($D497*$G497))</x:f>
      </x:c>
      <x:c r="J497" s="18"/>
      <x:c r="K497" s="19" t="str">
        <x:f>IF(OR($C497="",$D497=""),"",$I497-($D497*$H497))</x:f>
      </x:c>
      <x:c r="L497" s="18"/>
      <x:c r="M497" s="18"/>
    </x:row>
    <x:row r="498" ht="15" hidden="0" customHeight="1">
      <x:c r="A498" s="22"/>
      <x:c r="B498" s="18"/>
      <x:c r="C498" s="18"/>
      <x:c r="D498" s="18"/>
      <x:c r="E498" s="18" t="str">
        <x:f>IF($C498="","",XLOOKUP($C498,Products!$A$5:$A$34,Products!$B$5:$B$34,""))</x:f>
      </x:c>
      <x:c r="F498" s="18" t="str">
        <x:f>IF($C498="","",XLOOKUP($C498,Products!$A$5:$A$34,Products!$C$5:$C$34,""))</x:f>
      </x:c>
      <x:c r="G498" s="19" t="str">
        <x:f>IF($C498="","",XLOOKUP($C498,Products!$A$5:$A$34,Products!$F$5:$F$34,""))</x:f>
      </x:c>
      <x:c r="H498" s="19" t="str">
        <x:f>IF($C498="","",XLOOKUP($C498,Products!$A$5:$A$34,Products!$E$5:$E$34,""))</x:f>
      </x:c>
      <x:c r="I498" s="19" t="str">
        <x:f>IF(OR($C498="",$D498=""),"",($D498*$G498))</x:f>
      </x:c>
      <x:c r="J498" s="18"/>
      <x:c r="K498" s="19" t="str">
        <x:f>IF(OR($C498="",$D498=""),"",$I498-($D498*$H498))</x:f>
      </x:c>
      <x:c r="L498" s="18"/>
      <x:c r="M498" s="18"/>
    </x:row>
    <x:row r="499" ht="15" hidden="0" customHeight="1">
      <x:c r="A499" s="22"/>
      <x:c r="B499" s="18"/>
      <x:c r="C499" s="18"/>
      <x:c r="D499" s="18"/>
      <x:c r="E499" s="18" t="str">
        <x:f>IF($C499="","",XLOOKUP($C499,Products!$A$5:$A$34,Products!$B$5:$B$34,""))</x:f>
      </x:c>
      <x:c r="F499" s="18" t="str">
        <x:f>IF($C499="","",XLOOKUP($C499,Products!$A$5:$A$34,Products!$C$5:$C$34,""))</x:f>
      </x:c>
      <x:c r="G499" s="19" t="str">
        <x:f>IF($C499="","",XLOOKUP($C499,Products!$A$5:$A$34,Products!$F$5:$F$34,""))</x:f>
      </x:c>
      <x:c r="H499" s="19" t="str">
        <x:f>IF($C499="","",XLOOKUP($C499,Products!$A$5:$A$34,Products!$E$5:$E$34,""))</x:f>
      </x:c>
      <x:c r="I499" s="19" t="str">
        <x:f>IF(OR($C499="",$D499=""),"",($D499*$G499))</x:f>
      </x:c>
      <x:c r="J499" s="18"/>
      <x:c r="K499" s="19" t="str">
        <x:f>IF(OR($C499="",$D499=""),"",$I499-($D499*$H499))</x:f>
      </x:c>
      <x:c r="L499" s="18"/>
      <x:c r="M499" s="18"/>
    </x:row>
    <x:row r="500" ht="15" hidden="0" customHeight="1">
      <x:c r="A500" s="22"/>
      <x:c r="B500" s="18"/>
      <x:c r="C500" s="18"/>
      <x:c r="D500" s="18"/>
      <x:c r="E500" s="18" t="str">
        <x:f>IF($C500="","",XLOOKUP($C500,Products!$A$5:$A$34,Products!$B$5:$B$34,""))</x:f>
      </x:c>
      <x:c r="F500" s="18" t="str">
        <x:f>IF($C500="","",XLOOKUP($C500,Products!$A$5:$A$34,Products!$C$5:$C$34,""))</x:f>
      </x:c>
      <x:c r="G500" s="19" t="str">
        <x:f>IF($C500="","",XLOOKUP($C500,Products!$A$5:$A$34,Products!$F$5:$F$34,""))</x:f>
      </x:c>
      <x:c r="H500" s="19" t="str">
        <x:f>IF($C500="","",XLOOKUP($C500,Products!$A$5:$A$34,Products!$E$5:$E$34,""))</x:f>
      </x:c>
      <x:c r="I500" s="19" t="str">
        <x:f>IF(OR($C500="",$D500=""),"",($D500*$G500))</x:f>
      </x:c>
      <x:c r="J500" s="18"/>
      <x:c r="K500" s="19" t="str">
        <x:f>IF(OR($C500="",$D500=""),"",$I500-($D500*$H500))</x:f>
      </x:c>
      <x:c r="L500" s="18"/>
      <x:c r="M500" s="18"/>
    </x:row>
    <x:row r="501" ht="15" hidden="0" customHeight="1">
      <x:c r="A501" s="22"/>
      <x:c r="B501" s="18"/>
      <x:c r="C501" s="18"/>
      <x:c r="D501" s="18"/>
      <x:c r="E501" s="18" t="str">
        <x:f>IF($C501="","",XLOOKUP($C501,Products!$A$5:$A$34,Products!$B$5:$B$34,""))</x:f>
      </x:c>
      <x:c r="F501" s="18" t="str">
        <x:f>IF($C501="","",XLOOKUP($C501,Products!$A$5:$A$34,Products!$C$5:$C$34,""))</x:f>
      </x:c>
      <x:c r="G501" s="19" t="str">
        <x:f>IF($C501="","",XLOOKUP($C501,Products!$A$5:$A$34,Products!$F$5:$F$34,""))</x:f>
      </x:c>
      <x:c r="H501" s="19" t="str">
        <x:f>IF($C501="","",XLOOKUP($C501,Products!$A$5:$A$34,Products!$E$5:$E$34,""))</x:f>
      </x:c>
      <x:c r="I501" s="19" t="str">
        <x:f>IF(OR($C501="",$D501=""),"",($D501*$G501))</x:f>
      </x:c>
      <x:c r="J501" s="18"/>
      <x:c r="K501" s="19" t="str">
        <x:f>IF(OR($C501="",$D501=""),"",$I501-($D501*$H501))</x:f>
      </x:c>
      <x:c r="L501" s="18"/>
      <x:c r="M501" s="18"/>
    </x:row>
    <x:row r="502" ht="15" hidden="0" customHeight="1">
      <x:c r="A502" s="22"/>
      <x:c r="B502" s="18"/>
      <x:c r="C502" s="18"/>
      <x:c r="D502" s="18"/>
      <x:c r="E502" s="18" t="str">
        <x:f>IF($C502="","",XLOOKUP($C502,Products!$A$5:$A$34,Products!$B$5:$B$34,""))</x:f>
      </x:c>
      <x:c r="F502" s="18" t="str">
        <x:f>IF($C502="","",XLOOKUP($C502,Products!$A$5:$A$34,Products!$C$5:$C$34,""))</x:f>
      </x:c>
      <x:c r="G502" s="19" t="str">
        <x:f>IF($C502="","",XLOOKUP($C502,Products!$A$5:$A$34,Products!$F$5:$F$34,""))</x:f>
      </x:c>
      <x:c r="H502" s="19" t="str">
        <x:f>IF($C502="","",XLOOKUP($C502,Products!$A$5:$A$34,Products!$E$5:$E$34,""))</x:f>
      </x:c>
      <x:c r="I502" s="19" t="str">
        <x:f>IF(OR($C502="",$D502=""),"",($D502*$G502))</x:f>
      </x:c>
      <x:c r="J502" s="18"/>
      <x:c r="K502" s="19" t="str">
        <x:f>IF(OR($C502="",$D502=""),"",$I502-($D502*$H502))</x:f>
      </x:c>
      <x:c r="L502" s="18"/>
      <x:c r="M502" s="18"/>
    </x:row>
    <x:row r="503" ht="15" hidden="0" customHeight="1">
      <x:c r="A503" s="22"/>
      <x:c r="B503" s="18"/>
      <x:c r="C503" s="18"/>
      <x:c r="D503" s="18"/>
      <x:c r="E503" s="18" t="str">
        <x:f>IF($C503="","",XLOOKUP($C503,Products!$A$5:$A$34,Products!$B$5:$B$34,""))</x:f>
      </x:c>
      <x:c r="F503" s="18" t="str">
        <x:f>IF($C503="","",XLOOKUP($C503,Products!$A$5:$A$34,Products!$C$5:$C$34,""))</x:f>
      </x:c>
      <x:c r="G503" s="19" t="str">
        <x:f>IF($C503="","",XLOOKUP($C503,Products!$A$5:$A$34,Products!$F$5:$F$34,""))</x:f>
      </x:c>
      <x:c r="H503" s="19" t="str">
        <x:f>IF($C503="","",XLOOKUP($C503,Products!$A$5:$A$34,Products!$E$5:$E$34,""))</x:f>
      </x:c>
      <x:c r="I503" s="19" t="str">
        <x:f>IF(OR($C503="",$D503=""),"",($D503*$G503))</x:f>
      </x:c>
      <x:c r="J503" s="18"/>
      <x:c r="K503" s="19" t="str">
        <x:f>IF(OR($C503="",$D503=""),"",$I503-($D503*$H503))</x:f>
      </x:c>
      <x:c r="L503" s="18"/>
      <x:c r="M503" s="18"/>
    </x:row>
    <x:row r="504" ht="15" hidden="0" customHeight="1">
      <x:c r="A504" s="22"/>
      <x:c r="B504" s="18"/>
      <x:c r="C504" s="18"/>
      <x:c r="D504" s="18"/>
      <x:c r="E504" s="18" t="str">
        <x:f>IF($C504="","",XLOOKUP($C504,Products!$A$5:$A$34,Products!$B$5:$B$34,""))</x:f>
      </x:c>
      <x:c r="F504" s="18" t="str">
        <x:f>IF($C504="","",XLOOKUP($C504,Products!$A$5:$A$34,Products!$C$5:$C$34,""))</x:f>
      </x:c>
      <x:c r="G504" s="19" t="str">
        <x:f>IF($C504="","",XLOOKUP($C504,Products!$A$5:$A$34,Products!$F$5:$F$34,""))</x:f>
      </x:c>
      <x:c r="H504" s="19" t="str">
        <x:f>IF($C504="","",XLOOKUP($C504,Products!$A$5:$A$34,Products!$E$5:$E$34,""))</x:f>
      </x:c>
      <x:c r="I504" s="19" t="str">
        <x:f>IF(OR($C504="",$D504=""),"",($D504*$G504))</x:f>
      </x:c>
      <x:c r="J504" s="18"/>
      <x:c r="K504" s="19" t="str">
        <x:f>IF(OR($C504="",$D504=""),"",$I504-($D504*$H504))</x:f>
      </x:c>
      <x:c r="L504" s="18"/>
      <x:c r="M504" s="18"/>
    </x:row>
  </x:sheetData>
  <x:conditionalFormatting sqref="K5:K504">
    <x:cfRule type="cellIs" dxfId="2" priority="1" operator="lessThan">
      <x:formula>0</x:formula>
    </x:cfRule>
  </x:conditionalFormatting>
  <x:dataValidations count="3">
    <x:dataValidation type="list" allowBlank="1" showDropDown="0" sqref="C5:C504">
      <x:formula1>"SKU-001,SKU-002,SKU-003,SKU-004,SKU-005,SKU-006,SKU-007,SKU-008,SKU-009,SKU-010,SKU-011,SKU-012,SKU-013,SKU-014,SKU-015"</x:formula1>
    </x:dataValidation>
    <x:dataValidation type="list" allowBlank="1" showDropDown="0" sqref="J5:J504">
      <x:formula1>"Completed,Pending,Returned,Cancelled"</x:formula1>
    </x:dataValidation>
    <x:dataValidation type="list" allowBlank="1" showDropDown="0" sqref="L5:L504">
      <x:formula1>"Cash,Card,Bank Transfer,JazzCash,Easypaisa,Credit"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7.780000686645508" hidden="0" customWidth="1"/>
    <x:col min="3" max="3" width="10.5600004196167" hidden="0" customWidth="1"/>
    <x:col min="4" max="4" width="20" hidden="0" customWidth="1"/>
    <x:col min="5" max="5" width="10" hidden="0" customWidth="1"/>
    <x:col min="6" max="6" width="11.109999656677246" hidden="0" customWidth="1"/>
    <x:col min="7" max="7" width="12.220000267028809" hidden="0" customWidth="1"/>
    <x:col min="8" max="8" width="25.559999465942383" hidden="0" customWidth="1"/>
  </x:cols>
  <x:sheetData>
    <x:row r="1" ht="21.600000381469727" hidden="0" customHeight="1">
      <x:c r="A1" s="4" t="str">
        <x:v>Purchases / Stock Additions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8" t="str">
        <x:v>Enter every stock purchase here. Quantities increase Products current stock automatically.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/>
    <x:row r="4" ht="15" hidden="0" customHeight="1">
      <x:c r="A4" s="14" t="str">
        <x:v>Date</x:v>
      </x:c>
      <x:c r="B4" s="14" t="str">
        <x:v>Supplier</x:v>
      </x:c>
      <x:c r="C4" s="14" t="str">
        <x:v>SKU</x:v>
      </x:c>
      <x:c r="D4" s="14" t="str">
        <x:v>Product</x:v>
      </x:c>
      <x:c r="E4" s="14" t="str">
        <x:v>Qty Added</x:v>
      </x:c>
      <x:c r="F4" s="14" t="str">
        <x:v>Unit Cost</x:v>
      </x:c>
      <x:c r="G4" s="14" t="str">
        <x:v>Subtotal</x:v>
      </x:c>
      <x:c r="H4" s="14" t="str">
        <x:v>Notes</x:v>
      </x:c>
    </x:row>
    <x:row r="5" ht="15" hidden="0" customHeight="1">
      <x:c r="A5" s="22" t="n">
        <x:v>46143</x:v>
      </x:c>
      <x:c r="B5" s="18" t="str">
        <x:v>CableMart</x:v>
      </x:c>
      <x:c r="C5" s="18" t="str">
        <x:v>SKU-005</x:v>
      </x:c>
      <x:c r="D5" s="18" t="str">
        <x:f>IF($C5="","",XLOOKUP($C5,Products!$A$5:$A$34,Products!$B$5:$B$34,""))</x:f>
        <x:v>HDMI Cable 2m</x:v>
      </x:c>
      <x:c r="E5" s="18" t="n">
        <x:v>20</x:v>
      </x:c>
      <x:c r="F5" s="19" t="n">
        <x:f>IF($C5="","",XLOOKUP($C5,Products!$A$5:$A$34,Products!$E$5:$E$34,""))</x:f>
        <x:v>320</x:v>
      </x:c>
      <x:c r="G5" s="19" t="n">
        <x:f>IF(OR($C5="",$E5=""),"",$E5*$F5)</x:f>
        <x:v>6400</x:v>
      </x:c>
      <x:c r="H5" s="18" t="str">
        <x:v>Restock fast-moving cables</x:v>
      </x:c>
    </x:row>
    <x:row r="6" ht="15" hidden="0" customHeight="1">
      <x:c r="A6" s="22" t="n">
        <x:v>46144</x:v>
      </x:c>
      <x:c r="B6" s="18" t="str">
        <x:v>TechSource Lahore</x:v>
      </x:c>
      <x:c r="C6" s="18" t="str">
        <x:v>SKU-001</x:v>
      </x:c>
      <x:c r="D6" s="18" t="str">
        <x:f>IF($C6="","",XLOOKUP($C6,Products!$A$5:$A$34,Products!$B$5:$B$34,""))</x:f>
        <x:v>Wireless Mouse</x:v>
      </x:c>
      <x:c r="E6" s="18" t="n">
        <x:v>10</x:v>
      </x:c>
      <x:c r="F6" s="19" t="n">
        <x:f>IF($C6="","",XLOOKUP($C6,Products!$A$5:$A$34,Products!$E$5:$E$34,""))</x:f>
        <x:v>950</x:v>
      </x:c>
      <x:c r="G6" s="19" t="n">
        <x:f>IF(OR($C6="",$E6=""),"",$E6*$F6)</x:f>
        <x:v>9500</x:v>
      </x:c>
      <x:c r="H6" s="18" t="str"/>
    </x:row>
    <x:row r="7" ht="15" hidden="0" customHeight="1">
      <x:c r="A7" s="22" t="n">
        <x:v>46145</x:v>
      </x:c>
      <x:c r="B7" s="18" t="str">
        <x:v>Memory World</x:v>
      </x:c>
      <x:c r="C7" s="18" t="str">
        <x:v>SKU-011</x:v>
      </x:c>
      <x:c r="D7" s="18" t="str">
        <x:f>IF($C7="","",XLOOKUP($C7,Products!$A$5:$A$34,Products!$B$5:$B$34,""))</x:f>
        <x:v>USB Flash Drive 64GB</x:v>
      </x:c>
      <x:c r="E7" s="18" t="n">
        <x:v>12</x:v>
      </x:c>
      <x:c r="F7" s="19" t="n">
        <x:f>IF($C7="","",XLOOKUP($C7,Products!$A$5:$A$34,Products!$E$5:$E$34,""))</x:f>
        <x:v>1050</x:v>
      </x:c>
      <x:c r="G7" s="19" t="n">
        <x:f>IF(OR($C7="",$E7=""),"",$E7*$F7)</x:f>
        <x:v>12600</x:v>
      </x:c>
      <x:c r="H7" s="18" t="str"/>
    </x:row>
    <x:row r="8" ht="15" hidden="0" customHeight="1">
      <x:c r="A8" s="22" t="n">
        <x:v>46146</x:v>
      </x:c>
      <x:c r="B8" s="18" t="str">
        <x:v>PowerParts PK</x:v>
      </x:c>
      <x:c r="C8" s="18" t="str">
        <x:v>SKU-007</x:v>
      </x:c>
      <x:c r="D8" s="18" t="str">
        <x:f>IF($C8="","",XLOOKUP($C8,Products!$A$5:$A$34,Products!$B$5:$B$34,""))</x:f>
        <x:v>Laptop Charger 65W</x:v>
      </x:c>
      <x:c r="E8" s="18" t="n">
        <x:v>6</x:v>
      </x:c>
      <x:c r="F8" s="19" t="n">
        <x:f>IF($C8="","",XLOOKUP($C8,Products!$A$5:$A$34,Products!$E$5:$E$34,""))</x:f>
        <x:v>2100</x:v>
      </x:c>
      <x:c r="G8" s="19" t="n">
        <x:f>IF(OR($C8="",$E8=""),"",$E8*$F8)</x:f>
        <x:v>12600</x:v>
      </x:c>
      <x:c r="H8" s="18" t="str"/>
    </x:row>
    <x:row r="9" ht="15" hidden="0" customHeight="1">
      <x:c r="A9" s="22" t="n">
        <x:v>46147</x:v>
      </x:c>
      <x:c r="B9" s="18" t="str">
        <x:v>Karachi IT Wholesale</x:v>
      </x:c>
      <x:c r="C9" s="18" t="str">
        <x:v>SKU-003</x:v>
      </x:c>
      <x:c r="D9" s="18" t="str">
        <x:f>IF($C9="","",XLOOKUP($C9,Products!$A$5:$A$34,Products!$B$5:$B$34,""))</x:f>
        <x:v>USB Keyboard</x:v>
      </x:c>
      <x:c r="E9" s="18" t="n">
        <x:v>8</x:v>
      </x:c>
      <x:c r="F9" s="19" t="n">
        <x:f>IF($C9="","",XLOOKUP($C9,Products!$A$5:$A$34,Products!$E$5:$E$34,""))</x:f>
        <x:v>1450</x:v>
      </x:c>
      <x:c r="G9" s="19" t="n">
        <x:f>IF(OR($C9="",$E9=""),"",$E9*$F9)</x:f>
        <x:v>11600</x:v>
      </x:c>
      <x:c r="H9" s="18" t="str"/>
    </x:row>
    <x:row r="10" ht="15" hidden="0" customHeight="1">
      <x:c r="A10" s="22"/>
      <x:c r="B10" s="18"/>
      <x:c r="C10" s="18"/>
      <x:c r="D10" s="18" t="str">
        <x:f>IF($C10="","",XLOOKUP($C10,Products!$A$5:$A$34,Products!$B$5:$B$34,""))</x:f>
      </x:c>
      <x:c r="E10" s="18"/>
      <x:c r="F10" s="19" t="str">
        <x:f>IF($C10="","",XLOOKUP($C10,Products!$A$5:$A$34,Products!$E$5:$E$34,""))</x:f>
      </x:c>
      <x:c r="G10" s="19" t="str">
        <x:f>IF(OR($C10="",$E10=""),"",$E10*$F10)</x:f>
      </x:c>
      <x:c r="H10" s="18"/>
    </x:row>
    <x:row r="11" ht="15" hidden="0" customHeight="1">
      <x:c r="A11" s="22"/>
      <x:c r="B11" s="18"/>
      <x:c r="C11" s="18"/>
      <x:c r="D11" s="18" t="str">
        <x:f>IF($C11="","",XLOOKUP($C11,Products!$A$5:$A$34,Products!$B$5:$B$34,""))</x:f>
      </x:c>
      <x:c r="E11" s="18"/>
      <x:c r="F11" s="19" t="str">
        <x:f>IF($C11="","",XLOOKUP($C11,Products!$A$5:$A$34,Products!$E$5:$E$34,""))</x:f>
      </x:c>
      <x:c r="G11" s="19" t="str">
        <x:f>IF(OR($C11="",$E11=""),"",$E11*$F11)</x:f>
      </x:c>
      <x:c r="H11" s="18"/>
    </x:row>
    <x:row r="12" ht="15" hidden="0" customHeight="1">
      <x:c r="A12" s="22"/>
      <x:c r="B12" s="18"/>
      <x:c r="C12" s="18"/>
      <x:c r="D12" s="18" t="str">
        <x:f>IF($C12="","",XLOOKUP($C12,Products!$A$5:$A$34,Products!$B$5:$B$34,""))</x:f>
      </x:c>
      <x:c r="E12" s="18"/>
      <x:c r="F12" s="19" t="str">
        <x:f>IF($C12="","",XLOOKUP($C12,Products!$A$5:$A$34,Products!$E$5:$E$34,""))</x:f>
      </x:c>
      <x:c r="G12" s="19" t="str">
        <x:f>IF(OR($C12="",$E12=""),"",$E12*$F12)</x:f>
      </x:c>
      <x:c r="H12" s="18"/>
    </x:row>
    <x:row r="13" ht="15" hidden="0" customHeight="1">
      <x:c r="A13" s="22"/>
      <x:c r="B13" s="18"/>
      <x:c r="C13" s="18"/>
      <x:c r="D13" s="18" t="str">
        <x:f>IF($C13="","",XLOOKUP($C13,Products!$A$5:$A$34,Products!$B$5:$B$34,""))</x:f>
      </x:c>
      <x:c r="E13" s="18"/>
      <x:c r="F13" s="19" t="str">
        <x:f>IF($C13="","",XLOOKUP($C13,Products!$A$5:$A$34,Products!$E$5:$E$34,""))</x:f>
      </x:c>
      <x:c r="G13" s="19" t="str">
        <x:f>IF(OR($C13="",$E13=""),"",$E13*$F13)</x:f>
      </x:c>
      <x:c r="H13" s="18"/>
    </x:row>
    <x:row r="14" ht="15" hidden="0" customHeight="1">
      <x:c r="A14" s="22"/>
      <x:c r="B14" s="18"/>
      <x:c r="C14" s="18"/>
      <x:c r="D14" s="18" t="str">
        <x:f>IF($C14="","",XLOOKUP($C14,Products!$A$5:$A$34,Products!$B$5:$B$34,""))</x:f>
      </x:c>
      <x:c r="E14" s="18"/>
      <x:c r="F14" s="19" t="str">
        <x:f>IF($C14="","",XLOOKUP($C14,Products!$A$5:$A$34,Products!$E$5:$E$34,""))</x:f>
      </x:c>
      <x:c r="G14" s="19" t="str">
        <x:f>IF(OR($C14="",$E14=""),"",$E14*$F14)</x:f>
      </x:c>
      <x:c r="H14" s="18"/>
    </x:row>
    <x:row r="15" ht="15" hidden="0" customHeight="1">
      <x:c r="A15" s="22"/>
      <x:c r="B15" s="18"/>
      <x:c r="C15" s="18"/>
      <x:c r="D15" s="18" t="str">
        <x:f>IF($C15="","",XLOOKUP($C15,Products!$A$5:$A$34,Products!$B$5:$B$34,""))</x:f>
      </x:c>
      <x:c r="E15" s="18"/>
      <x:c r="F15" s="19" t="str">
        <x:f>IF($C15="","",XLOOKUP($C15,Products!$A$5:$A$34,Products!$E$5:$E$34,""))</x:f>
      </x:c>
      <x:c r="G15" s="19" t="str">
        <x:f>IF(OR($C15="",$E15=""),"",$E15*$F15)</x:f>
      </x:c>
      <x:c r="H15" s="18"/>
    </x:row>
    <x:row r="16" ht="15" hidden="0" customHeight="1">
      <x:c r="A16" s="22"/>
      <x:c r="B16" s="18"/>
      <x:c r="C16" s="18"/>
      <x:c r="D16" s="18" t="str">
        <x:f>IF($C16="","",XLOOKUP($C16,Products!$A$5:$A$34,Products!$B$5:$B$34,""))</x:f>
      </x:c>
      <x:c r="E16" s="18"/>
      <x:c r="F16" s="19" t="str">
        <x:f>IF($C16="","",XLOOKUP($C16,Products!$A$5:$A$34,Products!$E$5:$E$34,""))</x:f>
      </x:c>
      <x:c r="G16" s="19" t="str">
        <x:f>IF(OR($C16="",$E16=""),"",$E16*$F16)</x:f>
      </x:c>
      <x:c r="H16" s="18"/>
    </x:row>
    <x:row r="17" ht="15" hidden="0" customHeight="1">
      <x:c r="A17" s="22"/>
      <x:c r="B17" s="18"/>
      <x:c r="C17" s="18"/>
      <x:c r="D17" s="18" t="str">
        <x:f>IF($C17="","",XLOOKUP($C17,Products!$A$5:$A$34,Products!$B$5:$B$34,""))</x:f>
      </x:c>
      <x:c r="E17" s="18"/>
      <x:c r="F17" s="19" t="str">
        <x:f>IF($C17="","",XLOOKUP($C17,Products!$A$5:$A$34,Products!$E$5:$E$34,""))</x:f>
      </x:c>
      <x:c r="G17" s="19" t="str">
        <x:f>IF(OR($C17="",$E17=""),"",$E17*$F17)</x:f>
      </x:c>
      <x:c r="H17" s="18"/>
    </x:row>
    <x:row r="18" ht="15" hidden="0" customHeight="1">
      <x:c r="A18" s="22"/>
      <x:c r="B18" s="18"/>
      <x:c r="C18" s="18"/>
      <x:c r="D18" s="18" t="str">
        <x:f>IF($C18="","",XLOOKUP($C18,Products!$A$5:$A$34,Products!$B$5:$B$34,""))</x:f>
      </x:c>
      <x:c r="E18" s="18"/>
      <x:c r="F18" s="19" t="str">
        <x:f>IF($C18="","",XLOOKUP($C18,Products!$A$5:$A$34,Products!$E$5:$E$34,""))</x:f>
      </x:c>
      <x:c r="G18" s="19" t="str">
        <x:f>IF(OR($C18="",$E18=""),"",$E18*$F18)</x:f>
      </x:c>
      <x:c r="H18" s="18"/>
    </x:row>
    <x:row r="19" ht="15" hidden="0" customHeight="1">
      <x:c r="A19" s="22"/>
      <x:c r="B19" s="18"/>
      <x:c r="C19" s="18"/>
      <x:c r="D19" s="18" t="str">
        <x:f>IF($C19="","",XLOOKUP($C19,Products!$A$5:$A$34,Products!$B$5:$B$34,""))</x:f>
      </x:c>
      <x:c r="E19" s="18"/>
      <x:c r="F19" s="19" t="str">
        <x:f>IF($C19="","",XLOOKUP($C19,Products!$A$5:$A$34,Products!$E$5:$E$34,""))</x:f>
      </x:c>
      <x:c r="G19" s="19" t="str">
        <x:f>IF(OR($C19="",$E19=""),"",$E19*$F19)</x:f>
      </x:c>
      <x:c r="H19" s="18"/>
    </x:row>
    <x:row r="20" ht="15" hidden="0" customHeight="1">
      <x:c r="A20" s="22"/>
      <x:c r="B20" s="18"/>
      <x:c r="C20" s="18"/>
      <x:c r="D20" s="18" t="str">
        <x:f>IF($C20="","",XLOOKUP($C20,Products!$A$5:$A$34,Products!$B$5:$B$34,""))</x:f>
      </x:c>
      <x:c r="E20" s="18"/>
      <x:c r="F20" s="19" t="str">
        <x:f>IF($C20="","",XLOOKUP($C20,Products!$A$5:$A$34,Products!$E$5:$E$34,""))</x:f>
      </x:c>
      <x:c r="G20" s="19" t="str">
        <x:f>IF(OR($C20="",$E20=""),"",$E20*$F20)</x:f>
      </x:c>
      <x:c r="H20" s="18"/>
    </x:row>
    <x:row r="21" ht="15" hidden="0" customHeight="1">
      <x:c r="A21" s="22"/>
      <x:c r="B21" s="18"/>
      <x:c r="C21" s="18"/>
      <x:c r="D21" s="18" t="str">
        <x:f>IF($C21="","",XLOOKUP($C21,Products!$A$5:$A$34,Products!$B$5:$B$34,""))</x:f>
      </x:c>
      <x:c r="E21" s="18"/>
      <x:c r="F21" s="19" t="str">
        <x:f>IF($C21="","",XLOOKUP($C21,Products!$A$5:$A$34,Products!$E$5:$E$34,""))</x:f>
      </x:c>
      <x:c r="G21" s="19" t="str">
        <x:f>IF(OR($C21="",$E21=""),"",$E21*$F21)</x:f>
      </x:c>
      <x:c r="H21" s="18"/>
    </x:row>
    <x:row r="22" ht="15" hidden="0" customHeight="1">
      <x:c r="A22" s="22"/>
      <x:c r="B22" s="18"/>
      <x:c r="C22" s="18"/>
      <x:c r="D22" s="18" t="str">
        <x:f>IF($C22="","",XLOOKUP($C22,Products!$A$5:$A$34,Products!$B$5:$B$34,""))</x:f>
      </x:c>
      <x:c r="E22" s="18"/>
      <x:c r="F22" s="19" t="str">
        <x:f>IF($C22="","",XLOOKUP($C22,Products!$A$5:$A$34,Products!$E$5:$E$34,""))</x:f>
      </x:c>
      <x:c r="G22" s="19" t="str">
        <x:f>IF(OR($C22="",$E22=""),"",$E22*$F22)</x:f>
      </x:c>
      <x:c r="H22" s="18"/>
    </x:row>
    <x:row r="23" ht="15" hidden="0" customHeight="1">
      <x:c r="A23" s="22"/>
      <x:c r="B23" s="18"/>
      <x:c r="C23" s="18"/>
      <x:c r="D23" s="18" t="str">
        <x:f>IF($C23="","",XLOOKUP($C23,Products!$A$5:$A$34,Products!$B$5:$B$34,""))</x:f>
      </x:c>
      <x:c r="E23" s="18"/>
      <x:c r="F23" s="19" t="str">
        <x:f>IF($C23="","",XLOOKUP($C23,Products!$A$5:$A$34,Products!$E$5:$E$34,""))</x:f>
      </x:c>
      <x:c r="G23" s="19" t="str">
        <x:f>IF(OR($C23="",$E23=""),"",$E23*$F23)</x:f>
      </x:c>
      <x:c r="H23" s="18"/>
    </x:row>
    <x:row r="24" ht="15" hidden="0" customHeight="1">
      <x:c r="A24" s="22"/>
      <x:c r="B24" s="18"/>
      <x:c r="C24" s="18"/>
      <x:c r="D24" s="18" t="str">
        <x:f>IF($C24="","",XLOOKUP($C24,Products!$A$5:$A$34,Products!$B$5:$B$34,""))</x:f>
      </x:c>
      <x:c r="E24" s="18"/>
      <x:c r="F24" s="19" t="str">
        <x:f>IF($C24="","",XLOOKUP($C24,Products!$A$5:$A$34,Products!$E$5:$E$34,""))</x:f>
      </x:c>
      <x:c r="G24" s="19" t="str">
        <x:f>IF(OR($C24="",$E24=""),"",$E24*$F24)</x:f>
      </x:c>
      <x:c r="H24" s="18"/>
    </x:row>
    <x:row r="25" ht="15" hidden="0" customHeight="1">
      <x:c r="A25" s="22"/>
      <x:c r="B25" s="18"/>
      <x:c r="C25" s="18"/>
      <x:c r="D25" s="18" t="str">
        <x:f>IF($C25="","",XLOOKUP($C25,Products!$A$5:$A$34,Products!$B$5:$B$34,""))</x:f>
      </x:c>
      <x:c r="E25" s="18"/>
      <x:c r="F25" s="19" t="str">
        <x:f>IF($C25="","",XLOOKUP($C25,Products!$A$5:$A$34,Products!$E$5:$E$34,""))</x:f>
      </x:c>
      <x:c r="G25" s="19" t="str">
        <x:f>IF(OR($C25="",$E25=""),"",$E25*$F25)</x:f>
      </x:c>
      <x:c r="H25" s="18"/>
    </x:row>
    <x:row r="26" ht="15" hidden="0" customHeight="1">
      <x:c r="A26" s="22"/>
      <x:c r="B26" s="18"/>
      <x:c r="C26" s="18"/>
      <x:c r="D26" s="18" t="str">
        <x:f>IF($C26="","",XLOOKUP($C26,Products!$A$5:$A$34,Products!$B$5:$B$34,""))</x:f>
      </x:c>
      <x:c r="E26" s="18"/>
      <x:c r="F26" s="19" t="str">
        <x:f>IF($C26="","",XLOOKUP($C26,Products!$A$5:$A$34,Products!$E$5:$E$34,""))</x:f>
      </x:c>
      <x:c r="G26" s="19" t="str">
        <x:f>IF(OR($C26="",$E26=""),"",$E26*$F26)</x:f>
      </x:c>
      <x:c r="H26" s="18"/>
    </x:row>
    <x:row r="27" ht="15" hidden="0" customHeight="1">
      <x:c r="A27" s="22"/>
      <x:c r="B27" s="18"/>
      <x:c r="C27" s="18"/>
      <x:c r="D27" s="18" t="str">
        <x:f>IF($C27="","",XLOOKUP($C27,Products!$A$5:$A$34,Products!$B$5:$B$34,""))</x:f>
      </x:c>
      <x:c r="E27" s="18"/>
      <x:c r="F27" s="19" t="str">
        <x:f>IF($C27="","",XLOOKUP($C27,Products!$A$5:$A$34,Products!$E$5:$E$34,""))</x:f>
      </x:c>
      <x:c r="G27" s="19" t="str">
        <x:f>IF(OR($C27="",$E27=""),"",$E27*$F27)</x:f>
      </x:c>
      <x:c r="H27" s="18"/>
    </x:row>
    <x:row r="28" ht="15" hidden="0" customHeight="1">
      <x:c r="A28" s="22"/>
      <x:c r="B28" s="18"/>
      <x:c r="C28" s="18"/>
      <x:c r="D28" s="18" t="str">
        <x:f>IF($C28="","",XLOOKUP($C28,Products!$A$5:$A$34,Products!$B$5:$B$34,""))</x:f>
      </x:c>
      <x:c r="E28" s="18"/>
      <x:c r="F28" s="19" t="str">
        <x:f>IF($C28="","",XLOOKUP($C28,Products!$A$5:$A$34,Products!$E$5:$E$34,""))</x:f>
      </x:c>
      <x:c r="G28" s="19" t="str">
        <x:f>IF(OR($C28="",$E28=""),"",$E28*$F28)</x:f>
      </x:c>
      <x:c r="H28" s="18"/>
    </x:row>
    <x:row r="29" ht="15" hidden="0" customHeight="1">
      <x:c r="A29" s="22"/>
      <x:c r="B29" s="18"/>
      <x:c r="C29" s="18"/>
      <x:c r="D29" s="18" t="str">
        <x:f>IF($C29="","",XLOOKUP($C29,Products!$A$5:$A$34,Products!$B$5:$B$34,""))</x:f>
      </x:c>
      <x:c r="E29" s="18"/>
      <x:c r="F29" s="19" t="str">
        <x:f>IF($C29="","",XLOOKUP($C29,Products!$A$5:$A$34,Products!$E$5:$E$34,""))</x:f>
      </x:c>
      <x:c r="G29" s="19" t="str">
        <x:f>IF(OR($C29="",$E29=""),"",$E29*$F29)</x:f>
      </x:c>
      <x:c r="H29" s="18"/>
    </x:row>
    <x:row r="30" ht="15" hidden="0" customHeight="1">
      <x:c r="A30" s="22"/>
      <x:c r="B30" s="18"/>
      <x:c r="C30" s="18"/>
      <x:c r="D30" s="18" t="str">
        <x:f>IF($C30="","",XLOOKUP($C30,Products!$A$5:$A$34,Products!$B$5:$B$34,""))</x:f>
      </x:c>
      <x:c r="E30" s="18"/>
      <x:c r="F30" s="19" t="str">
        <x:f>IF($C30="","",XLOOKUP($C30,Products!$A$5:$A$34,Products!$E$5:$E$34,""))</x:f>
      </x:c>
      <x:c r="G30" s="19" t="str">
        <x:f>IF(OR($C30="",$E30=""),"",$E30*$F30)</x:f>
      </x:c>
      <x:c r="H30" s="18"/>
    </x:row>
    <x:row r="31" ht="15" hidden="0" customHeight="1">
      <x:c r="A31" s="22"/>
      <x:c r="B31" s="18"/>
      <x:c r="C31" s="18"/>
      <x:c r="D31" s="18" t="str">
        <x:f>IF($C31="","",XLOOKUP($C31,Products!$A$5:$A$34,Products!$B$5:$B$34,""))</x:f>
      </x:c>
      <x:c r="E31" s="18"/>
      <x:c r="F31" s="19" t="str">
        <x:f>IF($C31="","",XLOOKUP($C31,Products!$A$5:$A$34,Products!$E$5:$E$34,""))</x:f>
      </x:c>
      <x:c r="G31" s="19" t="str">
        <x:f>IF(OR($C31="",$E31=""),"",$E31*$F31)</x:f>
      </x:c>
      <x:c r="H31" s="18"/>
    </x:row>
    <x:row r="32" ht="15" hidden="0" customHeight="1">
      <x:c r="A32" s="22"/>
      <x:c r="B32" s="18"/>
      <x:c r="C32" s="18"/>
      <x:c r="D32" s="18" t="str">
        <x:f>IF($C32="","",XLOOKUP($C32,Products!$A$5:$A$34,Products!$B$5:$B$34,""))</x:f>
      </x:c>
      <x:c r="E32" s="18"/>
      <x:c r="F32" s="19" t="str">
        <x:f>IF($C32="","",XLOOKUP($C32,Products!$A$5:$A$34,Products!$E$5:$E$34,""))</x:f>
      </x:c>
      <x:c r="G32" s="19" t="str">
        <x:f>IF(OR($C32="",$E32=""),"",$E32*$F32)</x:f>
      </x:c>
      <x:c r="H32" s="18"/>
    </x:row>
    <x:row r="33" ht="15" hidden="0" customHeight="1">
      <x:c r="A33" s="22"/>
      <x:c r="B33" s="18"/>
      <x:c r="C33" s="18"/>
      <x:c r="D33" s="18" t="str">
        <x:f>IF($C33="","",XLOOKUP($C33,Products!$A$5:$A$34,Products!$B$5:$B$34,""))</x:f>
      </x:c>
      <x:c r="E33" s="18"/>
      <x:c r="F33" s="19" t="str">
        <x:f>IF($C33="","",XLOOKUP($C33,Products!$A$5:$A$34,Products!$E$5:$E$34,""))</x:f>
      </x:c>
      <x:c r="G33" s="19" t="str">
        <x:f>IF(OR($C33="",$E33=""),"",$E33*$F33)</x:f>
      </x:c>
      <x:c r="H33" s="18"/>
    </x:row>
    <x:row r="34" ht="15" hidden="0" customHeight="1">
      <x:c r="A34" s="22"/>
      <x:c r="B34" s="18"/>
      <x:c r="C34" s="18"/>
      <x:c r="D34" s="18" t="str">
        <x:f>IF($C34="","",XLOOKUP($C34,Products!$A$5:$A$34,Products!$B$5:$B$34,""))</x:f>
      </x:c>
      <x:c r="E34" s="18"/>
      <x:c r="F34" s="19" t="str">
        <x:f>IF($C34="","",XLOOKUP($C34,Products!$A$5:$A$34,Products!$E$5:$E$34,""))</x:f>
      </x:c>
      <x:c r="G34" s="19" t="str">
        <x:f>IF(OR($C34="",$E34=""),"",$E34*$F34)</x:f>
      </x:c>
      <x:c r="H34" s="18"/>
    </x:row>
    <x:row r="35" ht="15" hidden="0" customHeight="1">
      <x:c r="A35" s="22"/>
      <x:c r="B35" s="18"/>
      <x:c r="C35" s="18"/>
      <x:c r="D35" s="18" t="str">
        <x:f>IF($C35="","",XLOOKUP($C35,Products!$A$5:$A$34,Products!$B$5:$B$34,""))</x:f>
      </x:c>
      <x:c r="E35" s="18"/>
      <x:c r="F35" s="19" t="str">
        <x:f>IF($C35="","",XLOOKUP($C35,Products!$A$5:$A$34,Products!$E$5:$E$34,""))</x:f>
      </x:c>
      <x:c r="G35" s="19" t="str">
        <x:f>IF(OR($C35="",$E35=""),"",$E35*$F35)</x:f>
      </x:c>
      <x:c r="H35" s="18"/>
    </x:row>
    <x:row r="36" ht="15" hidden="0" customHeight="1">
      <x:c r="A36" s="22"/>
      <x:c r="B36" s="18"/>
      <x:c r="C36" s="18"/>
      <x:c r="D36" s="18" t="str">
        <x:f>IF($C36="","",XLOOKUP($C36,Products!$A$5:$A$34,Products!$B$5:$B$34,""))</x:f>
      </x:c>
      <x:c r="E36" s="18"/>
      <x:c r="F36" s="19" t="str">
        <x:f>IF($C36="","",XLOOKUP($C36,Products!$A$5:$A$34,Products!$E$5:$E$34,""))</x:f>
      </x:c>
      <x:c r="G36" s="19" t="str">
        <x:f>IF(OR($C36="",$E36=""),"",$E36*$F36)</x:f>
      </x:c>
      <x:c r="H36" s="18"/>
    </x:row>
    <x:row r="37" ht="15" hidden="0" customHeight="1">
      <x:c r="A37" s="22"/>
      <x:c r="B37" s="18"/>
      <x:c r="C37" s="18"/>
      <x:c r="D37" s="18" t="str">
        <x:f>IF($C37="","",XLOOKUP($C37,Products!$A$5:$A$34,Products!$B$5:$B$34,""))</x:f>
      </x:c>
      <x:c r="E37" s="18"/>
      <x:c r="F37" s="19" t="str">
        <x:f>IF($C37="","",XLOOKUP($C37,Products!$A$5:$A$34,Products!$E$5:$E$34,""))</x:f>
      </x:c>
      <x:c r="G37" s="19" t="str">
        <x:f>IF(OR($C37="",$E37=""),"",$E37*$F37)</x:f>
      </x:c>
      <x:c r="H37" s="18"/>
    </x:row>
    <x:row r="38" ht="15" hidden="0" customHeight="1">
      <x:c r="A38" s="22"/>
      <x:c r="B38" s="18"/>
      <x:c r="C38" s="18"/>
      <x:c r="D38" s="18" t="str">
        <x:f>IF($C38="","",XLOOKUP($C38,Products!$A$5:$A$34,Products!$B$5:$B$34,""))</x:f>
      </x:c>
      <x:c r="E38" s="18"/>
      <x:c r="F38" s="19" t="str">
        <x:f>IF($C38="","",XLOOKUP($C38,Products!$A$5:$A$34,Products!$E$5:$E$34,""))</x:f>
      </x:c>
      <x:c r="G38" s="19" t="str">
        <x:f>IF(OR($C38="",$E38=""),"",$E38*$F38)</x:f>
      </x:c>
      <x:c r="H38" s="18"/>
    </x:row>
    <x:row r="39" ht="15" hidden="0" customHeight="1">
      <x:c r="A39" s="22"/>
      <x:c r="B39" s="18"/>
      <x:c r="C39" s="18"/>
      <x:c r="D39" s="18" t="str">
        <x:f>IF($C39="","",XLOOKUP($C39,Products!$A$5:$A$34,Products!$B$5:$B$34,""))</x:f>
      </x:c>
      <x:c r="E39" s="18"/>
      <x:c r="F39" s="19" t="str">
        <x:f>IF($C39="","",XLOOKUP($C39,Products!$A$5:$A$34,Products!$E$5:$E$34,""))</x:f>
      </x:c>
      <x:c r="G39" s="19" t="str">
        <x:f>IF(OR($C39="",$E39=""),"",$E39*$F39)</x:f>
      </x:c>
      <x:c r="H39" s="18"/>
    </x:row>
    <x:row r="40" ht="15" hidden="0" customHeight="1">
      <x:c r="A40" s="22"/>
      <x:c r="B40" s="18"/>
      <x:c r="C40" s="18"/>
      <x:c r="D40" s="18" t="str">
        <x:f>IF($C40="","",XLOOKUP($C40,Products!$A$5:$A$34,Products!$B$5:$B$34,""))</x:f>
      </x:c>
      <x:c r="E40" s="18"/>
      <x:c r="F40" s="19" t="str">
        <x:f>IF($C40="","",XLOOKUP($C40,Products!$A$5:$A$34,Products!$E$5:$E$34,""))</x:f>
      </x:c>
      <x:c r="G40" s="19" t="str">
        <x:f>IF(OR($C40="",$E40=""),"",$E40*$F40)</x:f>
      </x:c>
      <x:c r="H40" s="18"/>
    </x:row>
    <x:row r="41" ht="15" hidden="0" customHeight="1">
      <x:c r="A41" s="22"/>
      <x:c r="B41" s="18"/>
      <x:c r="C41" s="18"/>
      <x:c r="D41" s="18" t="str">
        <x:f>IF($C41="","",XLOOKUP($C41,Products!$A$5:$A$34,Products!$B$5:$B$34,""))</x:f>
      </x:c>
      <x:c r="E41" s="18"/>
      <x:c r="F41" s="19" t="str">
        <x:f>IF($C41="","",XLOOKUP($C41,Products!$A$5:$A$34,Products!$E$5:$E$34,""))</x:f>
      </x:c>
      <x:c r="G41" s="19" t="str">
        <x:f>IF(OR($C41="",$E41=""),"",$E41*$F41)</x:f>
      </x:c>
      <x:c r="H41" s="18"/>
    </x:row>
    <x:row r="42" ht="15" hidden="0" customHeight="1">
      <x:c r="A42" s="22"/>
      <x:c r="B42" s="18"/>
      <x:c r="C42" s="18"/>
      <x:c r="D42" s="18" t="str">
        <x:f>IF($C42="","",XLOOKUP($C42,Products!$A$5:$A$34,Products!$B$5:$B$34,""))</x:f>
      </x:c>
      <x:c r="E42" s="18"/>
      <x:c r="F42" s="19" t="str">
        <x:f>IF($C42="","",XLOOKUP($C42,Products!$A$5:$A$34,Products!$E$5:$E$34,""))</x:f>
      </x:c>
      <x:c r="G42" s="19" t="str">
        <x:f>IF(OR($C42="",$E42=""),"",$E42*$F42)</x:f>
      </x:c>
      <x:c r="H42" s="18"/>
    </x:row>
    <x:row r="43" ht="15" hidden="0" customHeight="1">
      <x:c r="A43" s="22"/>
      <x:c r="B43" s="18"/>
      <x:c r="C43" s="18"/>
      <x:c r="D43" s="18" t="str">
        <x:f>IF($C43="","",XLOOKUP($C43,Products!$A$5:$A$34,Products!$B$5:$B$34,""))</x:f>
      </x:c>
      <x:c r="E43" s="18"/>
      <x:c r="F43" s="19" t="str">
        <x:f>IF($C43="","",XLOOKUP($C43,Products!$A$5:$A$34,Products!$E$5:$E$34,""))</x:f>
      </x:c>
      <x:c r="G43" s="19" t="str">
        <x:f>IF(OR($C43="",$E43=""),"",$E43*$F43)</x:f>
      </x:c>
      <x:c r="H43" s="18"/>
    </x:row>
    <x:row r="44" ht="15" hidden="0" customHeight="1">
      <x:c r="A44" s="22"/>
      <x:c r="B44" s="18"/>
      <x:c r="C44" s="18"/>
      <x:c r="D44" s="18" t="str">
        <x:f>IF($C44="","",XLOOKUP($C44,Products!$A$5:$A$34,Products!$B$5:$B$34,""))</x:f>
      </x:c>
      <x:c r="E44" s="18"/>
      <x:c r="F44" s="19" t="str">
        <x:f>IF($C44="","",XLOOKUP($C44,Products!$A$5:$A$34,Products!$E$5:$E$34,""))</x:f>
      </x:c>
      <x:c r="G44" s="19" t="str">
        <x:f>IF(OR($C44="",$E44=""),"",$E44*$F44)</x:f>
      </x:c>
      <x:c r="H44" s="18"/>
    </x:row>
    <x:row r="45" ht="15" hidden="0" customHeight="1">
      <x:c r="A45" s="22"/>
      <x:c r="B45" s="18"/>
      <x:c r="C45" s="18"/>
      <x:c r="D45" s="18" t="str">
        <x:f>IF($C45="","",XLOOKUP($C45,Products!$A$5:$A$34,Products!$B$5:$B$34,""))</x:f>
      </x:c>
      <x:c r="E45" s="18"/>
      <x:c r="F45" s="19" t="str">
        <x:f>IF($C45="","",XLOOKUP($C45,Products!$A$5:$A$34,Products!$E$5:$E$34,""))</x:f>
      </x:c>
      <x:c r="G45" s="19" t="str">
        <x:f>IF(OR($C45="",$E45=""),"",$E45*$F45)</x:f>
      </x:c>
      <x:c r="H45" s="18"/>
    </x:row>
    <x:row r="46" ht="15" hidden="0" customHeight="1">
      <x:c r="A46" s="22"/>
      <x:c r="B46" s="18"/>
      <x:c r="C46" s="18"/>
      <x:c r="D46" s="18" t="str">
        <x:f>IF($C46="","",XLOOKUP($C46,Products!$A$5:$A$34,Products!$B$5:$B$34,""))</x:f>
      </x:c>
      <x:c r="E46" s="18"/>
      <x:c r="F46" s="19" t="str">
        <x:f>IF($C46="","",XLOOKUP($C46,Products!$A$5:$A$34,Products!$E$5:$E$34,""))</x:f>
      </x:c>
      <x:c r="G46" s="19" t="str">
        <x:f>IF(OR($C46="",$E46=""),"",$E46*$F46)</x:f>
      </x:c>
      <x:c r="H46" s="18"/>
    </x:row>
    <x:row r="47" ht="15" hidden="0" customHeight="1">
      <x:c r="A47" s="22"/>
      <x:c r="B47" s="18"/>
      <x:c r="C47" s="18"/>
      <x:c r="D47" s="18" t="str">
        <x:f>IF($C47="","",XLOOKUP($C47,Products!$A$5:$A$34,Products!$B$5:$B$34,""))</x:f>
      </x:c>
      <x:c r="E47" s="18"/>
      <x:c r="F47" s="19" t="str">
        <x:f>IF($C47="","",XLOOKUP($C47,Products!$A$5:$A$34,Products!$E$5:$E$34,""))</x:f>
      </x:c>
      <x:c r="G47" s="19" t="str">
        <x:f>IF(OR($C47="",$E47=""),"",$E47*$F47)</x:f>
      </x:c>
      <x:c r="H47" s="18"/>
    </x:row>
    <x:row r="48" ht="15" hidden="0" customHeight="1">
      <x:c r="A48" s="22"/>
      <x:c r="B48" s="18"/>
      <x:c r="C48" s="18"/>
      <x:c r="D48" s="18" t="str">
        <x:f>IF($C48="","",XLOOKUP($C48,Products!$A$5:$A$34,Products!$B$5:$B$34,""))</x:f>
      </x:c>
      <x:c r="E48" s="18"/>
      <x:c r="F48" s="19" t="str">
        <x:f>IF($C48="","",XLOOKUP($C48,Products!$A$5:$A$34,Products!$E$5:$E$34,""))</x:f>
      </x:c>
      <x:c r="G48" s="19" t="str">
        <x:f>IF(OR($C48="",$E48=""),"",$E48*$F48)</x:f>
      </x:c>
      <x:c r="H48" s="18"/>
    </x:row>
    <x:row r="49" ht="15" hidden="0" customHeight="1">
      <x:c r="A49" s="22"/>
      <x:c r="B49" s="18"/>
      <x:c r="C49" s="18"/>
      <x:c r="D49" s="18" t="str">
        <x:f>IF($C49="","",XLOOKUP($C49,Products!$A$5:$A$34,Products!$B$5:$B$34,""))</x:f>
      </x:c>
      <x:c r="E49" s="18"/>
      <x:c r="F49" s="19" t="str">
        <x:f>IF($C49="","",XLOOKUP($C49,Products!$A$5:$A$34,Products!$E$5:$E$34,""))</x:f>
      </x:c>
      <x:c r="G49" s="19" t="str">
        <x:f>IF(OR($C49="",$E49=""),"",$E49*$F49)</x:f>
      </x:c>
      <x:c r="H49" s="18"/>
    </x:row>
    <x:row r="50" ht="15" hidden="0" customHeight="1">
      <x:c r="A50" s="22"/>
      <x:c r="B50" s="18"/>
      <x:c r="C50" s="18"/>
      <x:c r="D50" s="18" t="str">
        <x:f>IF($C50="","",XLOOKUP($C50,Products!$A$5:$A$34,Products!$B$5:$B$34,""))</x:f>
      </x:c>
      <x:c r="E50" s="18"/>
      <x:c r="F50" s="19" t="str">
        <x:f>IF($C50="","",XLOOKUP($C50,Products!$A$5:$A$34,Products!$E$5:$E$34,""))</x:f>
      </x:c>
      <x:c r="G50" s="19" t="str">
        <x:f>IF(OR($C50="",$E50=""),"",$E50*$F50)</x:f>
      </x:c>
      <x:c r="H50" s="18"/>
    </x:row>
    <x:row r="51" ht="15" hidden="0" customHeight="1">
      <x:c r="A51" s="22"/>
      <x:c r="B51" s="18"/>
      <x:c r="C51" s="18"/>
      <x:c r="D51" s="18" t="str">
        <x:f>IF($C51="","",XLOOKUP($C51,Products!$A$5:$A$34,Products!$B$5:$B$34,""))</x:f>
      </x:c>
      <x:c r="E51" s="18"/>
      <x:c r="F51" s="19" t="str">
        <x:f>IF($C51="","",XLOOKUP($C51,Products!$A$5:$A$34,Products!$E$5:$E$34,""))</x:f>
      </x:c>
      <x:c r="G51" s="19" t="str">
        <x:f>IF(OR($C51="",$E51=""),"",$E51*$F51)</x:f>
      </x:c>
      <x:c r="H51" s="18"/>
    </x:row>
    <x:row r="52" ht="15" hidden="0" customHeight="1">
      <x:c r="A52" s="22"/>
      <x:c r="B52" s="18"/>
      <x:c r="C52" s="18"/>
      <x:c r="D52" s="18" t="str">
        <x:f>IF($C52="","",XLOOKUP($C52,Products!$A$5:$A$34,Products!$B$5:$B$34,""))</x:f>
      </x:c>
      <x:c r="E52" s="18"/>
      <x:c r="F52" s="19" t="str">
        <x:f>IF($C52="","",XLOOKUP($C52,Products!$A$5:$A$34,Products!$E$5:$E$34,""))</x:f>
      </x:c>
      <x:c r="G52" s="19" t="str">
        <x:f>IF(OR($C52="",$E52=""),"",$E52*$F52)</x:f>
      </x:c>
      <x:c r="H52" s="18"/>
    </x:row>
    <x:row r="53" ht="15" hidden="0" customHeight="1">
      <x:c r="A53" s="22"/>
      <x:c r="B53" s="18"/>
      <x:c r="C53" s="18"/>
      <x:c r="D53" s="18" t="str">
        <x:f>IF($C53="","",XLOOKUP($C53,Products!$A$5:$A$34,Products!$B$5:$B$34,""))</x:f>
      </x:c>
      <x:c r="E53" s="18"/>
      <x:c r="F53" s="19" t="str">
        <x:f>IF($C53="","",XLOOKUP($C53,Products!$A$5:$A$34,Products!$E$5:$E$34,""))</x:f>
      </x:c>
      <x:c r="G53" s="19" t="str">
        <x:f>IF(OR($C53="",$E53=""),"",$E53*$F53)</x:f>
      </x:c>
      <x:c r="H53" s="18"/>
    </x:row>
    <x:row r="54" ht="15" hidden="0" customHeight="1">
      <x:c r="A54" s="22"/>
      <x:c r="B54" s="18"/>
      <x:c r="C54" s="18"/>
      <x:c r="D54" s="18" t="str">
        <x:f>IF($C54="","",XLOOKUP($C54,Products!$A$5:$A$34,Products!$B$5:$B$34,""))</x:f>
      </x:c>
      <x:c r="E54" s="18"/>
      <x:c r="F54" s="19" t="str">
        <x:f>IF($C54="","",XLOOKUP($C54,Products!$A$5:$A$34,Products!$E$5:$E$34,""))</x:f>
      </x:c>
      <x:c r="G54" s="19" t="str">
        <x:f>IF(OR($C54="",$E54=""),"",$E54*$F54)</x:f>
      </x:c>
      <x:c r="H54" s="18"/>
    </x:row>
    <x:row r="55" ht="15" hidden="0" customHeight="1">
      <x:c r="A55" s="22"/>
      <x:c r="B55" s="18"/>
      <x:c r="C55" s="18"/>
      <x:c r="D55" s="18" t="str">
        <x:f>IF($C55="","",XLOOKUP($C55,Products!$A$5:$A$34,Products!$B$5:$B$34,""))</x:f>
      </x:c>
      <x:c r="E55" s="18"/>
      <x:c r="F55" s="19" t="str">
        <x:f>IF($C55="","",XLOOKUP($C55,Products!$A$5:$A$34,Products!$E$5:$E$34,""))</x:f>
      </x:c>
      <x:c r="G55" s="19" t="str">
        <x:f>IF(OR($C55="",$E55=""),"",$E55*$F55)</x:f>
      </x:c>
      <x:c r="H55" s="18"/>
    </x:row>
    <x:row r="56" ht="15" hidden="0" customHeight="1">
      <x:c r="A56" s="22"/>
      <x:c r="B56" s="18"/>
      <x:c r="C56" s="18"/>
      <x:c r="D56" s="18" t="str">
        <x:f>IF($C56="","",XLOOKUP($C56,Products!$A$5:$A$34,Products!$B$5:$B$34,""))</x:f>
      </x:c>
      <x:c r="E56" s="18"/>
      <x:c r="F56" s="19" t="str">
        <x:f>IF($C56="","",XLOOKUP($C56,Products!$A$5:$A$34,Products!$E$5:$E$34,""))</x:f>
      </x:c>
      <x:c r="G56" s="19" t="str">
        <x:f>IF(OR($C56="",$E56=""),"",$E56*$F56)</x:f>
      </x:c>
      <x:c r="H56" s="18"/>
    </x:row>
    <x:row r="57" ht="15" hidden="0" customHeight="1">
      <x:c r="A57" s="22"/>
      <x:c r="B57" s="18"/>
      <x:c r="C57" s="18"/>
      <x:c r="D57" s="18" t="str">
        <x:f>IF($C57="","",XLOOKUP($C57,Products!$A$5:$A$34,Products!$B$5:$B$34,""))</x:f>
      </x:c>
      <x:c r="E57" s="18"/>
      <x:c r="F57" s="19" t="str">
        <x:f>IF($C57="","",XLOOKUP($C57,Products!$A$5:$A$34,Products!$E$5:$E$34,""))</x:f>
      </x:c>
      <x:c r="G57" s="19" t="str">
        <x:f>IF(OR($C57="",$E57=""),"",$E57*$F57)</x:f>
      </x:c>
      <x:c r="H57" s="18"/>
    </x:row>
    <x:row r="58" ht="15" hidden="0" customHeight="1">
      <x:c r="A58" s="22"/>
      <x:c r="B58" s="18"/>
      <x:c r="C58" s="18"/>
      <x:c r="D58" s="18" t="str">
        <x:f>IF($C58="","",XLOOKUP($C58,Products!$A$5:$A$34,Products!$B$5:$B$34,""))</x:f>
      </x:c>
      <x:c r="E58" s="18"/>
      <x:c r="F58" s="19" t="str">
        <x:f>IF($C58="","",XLOOKUP($C58,Products!$A$5:$A$34,Products!$E$5:$E$34,""))</x:f>
      </x:c>
      <x:c r="G58" s="19" t="str">
        <x:f>IF(OR($C58="",$E58=""),"",$E58*$F58)</x:f>
      </x:c>
      <x:c r="H58" s="18"/>
    </x:row>
    <x:row r="59" ht="15" hidden="0" customHeight="1">
      <x:c r="A59" s="22"/>
      <x:c r="B59" s="18"/>
      <x:c r="C59" s="18"/>
      <x:c r="D59" s="18" t="str">
        <x:f>IF($C59="","",XLOOKUP($C59,Products!$A$5:$A$34,Products!$B$5:$B$34,""))</x:f>
      </x:c>
      <x:c r="E59" s="18"/>
      <x:c r="F59" s="19" t="str">
        <x:f>IF($C59="","",XLOOKUP($C59,Products!$A$5:$A$34,Products!$E$5:$E$34,""))</x:f>
      </x:c>
      <x:c r="G59" s="19" t="str">
        <x:f>IF(OR($C59="",$E59=""),"",$E59*$F59)</x:f>
      </x:c>
      <x:c r="H59" s="18"/>
    </x:row>
    <x:row r="60" ht="15" hidden="0" customHeight="1">
      <x:c r="A60" s="22"/>
      <x:c r="B60" s="18"/>
      <x:c r="C60" s="18"/>
      <x:c r="D60" s="18" t="str">
        <x:f>IF($C60="","",XLOOKUP($C60,Products!$A$5:$A$34,Products!$B$5:$B$34,""))</x:f>
      </x:c>
      <x:c r="E60" s="18"/>
      <x:c r="F60" s="19" t="str">
        <x:f>IF($C60="","",XLOOKUP($C60,Products!$A$5:$A$34,Products!$E$5:$E$34,""))</x:f>
      </x:c>
      <x:c r="G60" s="19" t="str">
        <x:f>IF(OR($C60="",$E60=""),"",$E60*$F60)</x:f>
      </x:c>
      <x:c r="H60" s="18"/>
    </x:row>
    <x:row r="61" ht="15" hidden="0" customHeight="1">
      <x:c r="A61" s="22"/>
      <x:c r="B61" s="18"/>
      <x:c r="C61" s="18"/>
      <x:c r="D61" s="18" t="str">
        <x:f>IF($C61="","",XLOOKUP($C61,Products!$A$5:$A$34,Products!$B$5:$B$34,""))</x:f>
      </x:c>
      <x:c r="E61" s="18"/>
      <x:c r="F61" s="19" t="str">
        <x:f>IF($C61="","",XLOOKUP($C61,Products!$A$5:$A$34,Products!$E$5:$E$34,""))</x:f>
      </x:c>
      <x:c r="G61" s="19" t="str">
        <x:f>IF(OR($C61="",$E61=""),"",$E61*$F61)</x:f>
      </x:c>
      <x:c r="H61" s="18"/>
    </x:row>
    <x:row r="62" ht="15" hidden="0" customHeight="1">
      <x:c r="A62" s="22"/>
      <x:c r="B62" s="18"/>
      <x:c r="C62" s="18"/>
      <x:c r="D62" s="18" t="str">
        <x:f>IF($C62="","",XLOOKUP($C62,Products!$A$5:$A$34,Products!$B$5:$B$34,""))</x:f>
      </x:c>
      <x:c r="E62" s="18"/>
      <x:c r="F62" s="19" t="str">
        <x:f>IF($C62="","",XLOOKUP($C62,Products!$A$5:$A$34,Products!$E$5:$E$34,""))</x:f>
      </x:c>
      <x:c r="G62" s="19" t="str">
        <x:f>IF(OR($C62="",$E62=""),"",$E62*$F62)</x:f>
      </x:c>
      <x:c r="H62" s="18"/>
    </x:row>
    <x:row r="63" ht="15" hidden="0" customHeight="1">
      <x:c r="A63" s="22"/>
      <x:c r="B63" s="18"/>
      <x:c r="C63" s="18"/>
      <x:c r="D63" s="18" t="str">
        <x:f>IF($C63="","",XLOOKUP($C63,Products!$A$5:$A$34,Products!$B$5:$B$34,""))</x:f>
      </x:c>
      <x:c r="E63" s="18"/>
      <x:c r="F63" s="19" t="str">
        <x:f>IF($C63="","",XLOOKUP($C63,Products!$A$5:$A$34,Products!$E$5:$E$34,""))</x:f>
      </x:c>
      <x:c r="G63" s="19" t="str">
        <x:f>IF(OR($C63="",$E63=""),"",$E63*$F63)</x:f>
      </x:c>
      <x:c r="H63" s="18"/>
    </x:row>
    <x:row r="64" ht="15" hidden="0" customHeight="1">
      <x:c r="A64" s="22"/>
      <x:c r="B64" s="18"/>
      <x:c r="C64" s="18"/>
      <x:c r="D64" s="18" t="str">
        <x:f>IF($C64="","",XLOOKUP($C64,Products!$A$5:$A$34,Products!$B$5:$B$34,""))</x:f>
      </x:c>
      <x:c r="E64" s="18"/>
      <x:c r="F64" s="19" t="str">
        <x:f>IF($C64="","",XLOOKUP($C64,Products!$A$5:$A$34,Products!$E$5:$E$34,""))</x:f>
      </x:c>
      <x:c r="G64" s="19" t="str">
        <x:f>IF(OR($C64="",$E64=""),"",$E64*$F64)</x:f>
      </x:c>
      <x:c r="H64" s="18"/>
    </x:row>
    <x:row r="65" ht="15" hidden="0" customHeight="1">
      <x:c r="A65" s="22"/>
      <x:c r="B65" s="18"/>
      <x:c r="C65" s="18"/>
      <x:c r="D65" s="18" t="str">
        <x:f>IF($C65="","",XLOOKUP($C65,Products!$A$5:$A$34,Products!$B$5:$B$34,""))</x:f>
      </x:c>
      <x:c r="E65" s="18"/>
      <x:c r="F65" s="19" t="str">
        <x:f>IF($C65="","",XLOOKUP($C65,Products!$A$5:$A$34,Products!$E$5:$E$34,""))</x:f>
      </x:c>
      <x:c r="G65" s="19" t="str">
        <x:f>IF(OR($C65="",$E65=""),"",$E65*$F65)</x:f>
      </x:c>
      <x:c r="H65" s="18"/>
    </x:row>
    <x:row r="66" ht="15" hidden="0" customHeight="1">
      <x:c r="A66" s="22"/>
      <x:c r="B66" s="18"/>
      <x:c r="C66" s="18"/>
      <x:c r="D66" s="18" t="str">
        <x:f>IF($C66="","",XLOOKUP($C66,Products!$A$5:$A$34,Products!$B$5:$B$34,""))</x:f>
      </x:c>
      <x:c r="E66" s="18"/>
      <x:c r="F66" s="19" t="str">
        <x:f>IF($C66="","",XLOOKUP($C66,Products!$A$5:$A$34,Products!$E$5:$E$34,""))</x:f>
      </x:c>
      <x:c r="G66" s="19" t="str">
        <x:f>IF(OR($C66="",$E66=""),"",$E66*$F66)</x:f>
      </x:c>
      <x:c r="H66" s="18"/>
    </x:row>
    <x:row r="67" ht="15" hidden="0" customHeight="1">
      <x:c r="A67" s="22"/>
      <x:c r="B67" s="18"/>
      <x:c r="C67" s="18"/>
      <x:c r="D67" s="18" t="str">
        <x:f>IF($C67="","",XLOOKUP($C67,Products!$A$5:$A$34,Products!$B$5:$B$34,""))</x:f>
      </x:c>
      <x:c r="E67" s="18"/>
      <x:c r="F67" s="19" t="str">
        <x:f>IF($C67="","",XLOOKUP($C67,Products!$A$5:$A$34,Products!$E$5:$E$34,""))</x:f>
      </x:c>
      <x:c r="G67" s="19" t="str">
        <x:f>IF(OR($C67="",$E67=""),"",$E67*$F67)</x:f>
      </x:c>
      <x:c r="H67" s="18"/>
    </x:row>
    <x:row r="68" ht="15" hidden="0" customHeight="1">
      <x:c r="A68" s="22"/>
      <x:c r="B68" s="18"/>
      <x:c r="C68" s="18"/>
      <x:c r="D68" s="18" t="str">
        <x:f>IF($C68="","",XLOOKUP($C68,Products!$A$5:$A$34,Products!$B$5:$B$34,""))</x:f>
      </x:c>
      <x:c r="E68" s="18"/>
      <x:c r="F68" s="19" t="str">
        <x:f>IF($C68="","",XLOOKUP($C68,Products!$A$5:$A$34,Products!$E$5:$E$34,""))</x:f>
      </x:c>
      <x:c r="G68" s="19" t="str">
        <x:f>IF(OR($C68="",$E68=""),"",$E68*$F68)</x:f>
      </x:c>
      <x:c r="H68" s="18"/>
    </x:row>
    <x:row r="69" ht="15" hidden="0" customHeight="1">
      <x:c r="A69" s="22"/>
      <x:c r="B69" s="18"/>
      <x:c r="C69" s="18"/>
      <x:c r="D69" s="18" t="str">
        <x:f>IF($C69="","",XLOOKUP($C69,Products!$A$5:$A$34,Products!$B$5:$B$34,""))</x:f>
      </x:c>
      <x:c r="E69" s="18"/>
      <x:c r="F69" s="19" t="str">
        <x:f>IF($C69="","",XLOOKUP($C69,Products!$A$5:$A$34,Products!$E$5:$E$34,""))</x:f>
      </x:c>
      <x:c r="G69" s="19" t="str">
        <x:f>IF(OR($C69="",$E69=""),"",$E69*$F69)</x:f>
      </x:c>
      <x:c r="H69" s="18"/>
    </x:row>
    <x:row r="70" ht="15" hidden="0" customHeight="1">
      <x:c r="A70" s="22"/>
      <x:c r="B70" s="18"/>
      <x:c r="C70" s="18"/>
      <x:c r="D70" s="18" t="str">
        <x:f>IF($C70="","",XLOOKUP($C70,Products!$A$5:$A$34,Products!$B$5:$B$34,""))</x:f>
      </x:c>
      <x:c r="E70" s="18"/>
      <x:c r="F70" s="19" t="str">
        <x:f>IF($C70="","",XLOOKUP($C70,Products!$A$5:$A$34,Products!$E$5:$E$34,""))</x:f>
      </x:c>
      <x:c r="G70" s="19" t="str">
        <x:f>IF(OR($C70="",$E70=""),"",$E70*$F70)</x:f>
      </x:c>
      <x:c r="H70" s="18"/>
    </x:row>
    <x:row r="71" ht="15" hidden="0" customHeight="1">
      <x:c r="A71" s="22"/>
      <x:c r="B71" s="18"/>
      <x:c r="C71" s="18"/>
      <x:c r="D71" s="18" t="str">
        <x:f>IF($C71="","",XLOOKUP($C71,Products!$A$5:$A$34,Products!$B$5:$B$34,""))</x:f>
      </x:c>
      <x:c r="E71" s="18"/>
      <x:c r="F71" s="19" t="str">
        <x:f>IF($C71="","",XLOOKUP($C71,Products!$A$5:$A$34,Products!$E$5:$E$34,""))</x:f>
      </x:c>
      <x:c r="G71" s="19" t="str">
        <x:f>IF(OR($C71="",$E71=""),"",$E71*$F71)</x:f>
      </x:c>
      <x:c r="H71" s="18"/>
    </x:row>
    <x:row r="72" ht="15" hidden="0" customHeight="1">
      <x:c r="A72" s="22"/>
      <x:c r="B72" s="18"/>
      <x:c r="C72" s="18"/>
      <x:c r="D72" s="18" t="str">
        <x:f>IF($C72="","",XLOOKUP($C72,Products!$A$5:$A$34,Products!$B$5:$B$34,""))</x:f>
      </x:c>
      <x:c r="E72" s="18"/>
      <x:c r="F72" s="19" t="str">
        <x:f>IF($C72="","",XLOOKUP($C72,Products!$A$5:$A$34,Products!$E$5:$E$34,""))</x:f>
      </x:c>
      <x:c r="G72" s="19" t="str">
        <x:f>IF(OR($C72="",$E72=""),"",$E72*$F72)</x:f>
      </x:c>
      <x:c r="H72" s="18"/>
    </x:row>
    <x:row r="73" ht="15" hidden="0" customHeight="1">
      <x:c r="A73" s="22"/>
      <x:c r="B73" s="18"/>
      <x:c r="C73" s="18"/>
      <x:c r="D73" s="18" t="str">
        <x:f>IF($C73="","",XLOOKUP($C73,Products!$A$5:$A$34,Products!$B$5:$B$34,""))</x:f>
      </x:c>
      <x:c r="E73" s="18"/>
      <x:c r="F73" s="19" t="str">
        <x:f>IF($C73="","",XLOOKUP($C73,Products!$A$5:$A$34,Products!$E$5:$E$34,""))</x:f>
      </x:c>
      <x:c r="G73" s="19" t="str">
        <x:f>IF(OR($C73="",$E73=""),"",$E73*$F73)</x:f>
      </x:c>
      <x:c r="H73" s="18"/>
    </x:row>
    <x:row r="74" ht="15" hidden="0" customHeight="1">
      <x:c r="A74" s="22"/>
      <x:c r="B74" s="18"/>
      <x:c r="C74" s="18"/>
      <x:c r="D74" s="18" t="str">
        <x:f>IF($C74="","",XLOOKUP($C74,Products!$A$5:$A$34,Products!$B$5:$B$34,""))</x:f>
      </x:c>
      <x:c r="E74" s="18"/>
      <x:c r="F74" s="19" t="str">
        <x:f>IF($C74="","",XLOOKUP($C74,Products!$A$5:$A$34,Products!$E$5:$E$34,""))</x:f>
      </x:c>
      <x:c r="G74" s="19" t="str">
        <x:f>IF(OR($C74="",$E74=""),"",$E74*$F74)</x:f>
      </x:c>
      <x:c r="H74" s="18"/>
    </x:row>
    <x:row r="75" ht="15" hidden="0" customHeight="1">
      <x:c r="A75" s="22"/>
      <x:c r="B75" s="18"/>
      <x:c r="C75" s="18"/>
      <x:c r="D75" s="18" t="str">
        <x:f>IF($C75="","",XLOOKUP($C75,Products!$A$5:$A$34,Products!$B$5:$B$34,""))</x:f>
      </x:c>
      <x:c r="E75" s="18"/>
      <x:c r="F75" s="19" t="str">
        <x:f>IF($C75="","",XLOOKUP($C75,Products!$A$5:$A$34,Products!$E$5:$E$34,""))</x:f>
      </x:c>
      <x:c r="G75" s="19" t="str">
        <x:f>IF(OR($C75="",$E75=""),"",$E75*$F75)</x:f>
      </x:c>
      <x:c r="H75" s="18"/>
    </x:row>
    <x:row r="76" ht="15" hidden="0" customHeight="1">
      <x:c r="A76" s="22"/>
      <x:c r="B76" s="18"/>
      <x:c r="C76" s="18"/>
      <x:c r="D76" s="18" t="str">
        <x:f>IF($C76="","",XLOOKUP($C76,Products!$A$5:$A$34,Products!$B$5:$B$34,""))</x:f>
      </x:c>
      <x:c r="E76" s="18"/>
      <x:c r="F76" s="19" t="str">
        <x:f>IF($C76="","",XLOOKUP($C76,Products!$A$5:$A$34,Products!$E$5:$E$34,""))</x:f>
      </x:c>
      <x:c r="G76" s="19" t="str">
        <x:f>IF(OR($C76="",$E76=""),"",$E76*$F76)</x:f>
      </x:c>
      <x:c r="H76" s="18"/>
    </x:row>
    <x:row r="77" ht="15" hidden="0" customHeight="1">
      <x:c r="A77" s="22"/>
      <x:c r="B77" s="18"/>
      <x:c r="C77" s="18"/>
      <x:c r="D77" s="18" t="str">
        <x:f>IF($C77="","",XLOOKUP($C77,Products!$A$5:$A$34,Products!$B$5:$B$34,""))</x:f>
      </x:c>
      <x:c r="E77" s="18"/>
      <x:c r="F77" s="19" t="str">
        <x:f>IF($C77="","",XLOOKUP($C77,Products!$A$5:$A$34,Products!$E$5:$E$34,""))</x:f>
      </x:c>
      <x:c r="G77" s="19" t="str">
        <x:f>IF(OR($C77="",$E77=""),"",$E77*$F77)</x:f>
      </x:c>
      <x:c r="H77" s="18"/>
    </x:row>
    <x:row r="78" ht="15" hidden="0" customHeight="1">
      <x:c r="A78" s="22"/>
      <x:c r="B78" s="18"/>
      <x:c r="C78" s="18"/>
      <x:c r="D78" s="18" t="str">
        <x:f>IF($C78="","",XLOOKUP($C78,Products!$A$5:$A$34,Products!$B$5:$B$34,""))</x:f>
      </x:c>
      <x:c r="E78" s="18"/>
      <x:c r="F78" s="19" t="str">
        <x:f>IF($C78="","",XLOOKUP($C78,Products!$A$5:$A$34,Products!$E$5:$E$34,""))</x:f>
      </x:c>
      <x:c r="G78" s="19" t="str">
        <x:f>IF(OR($C78="",$E78=""),"",$E78*$F78)</x:f>
      </x:c>
      <x:c r="H78" s="18"/>
    </x:row>
    <x:row r="79" ht="15" hidden="0" customHeight="1">
      <x:c r="A79" s="22"/>
      <x:c r="B79" s="18"/>
      <x:c r="C79" s="18"/>
      <x:c r="D79" s="18" t="str">
        <x:f>IF($C79="","",XLOOKUP($C79,Products!$A$5:$A$34,Products!$B$5:$B$34,""))</x:f>
      </x:c>
      <x:c r="E79" s="18"/>
      <x:c r="F79" s="19" t="str">
        <x:f>IF($C79="","",XLOOKUP($C79,Products!$A$5:$A$34,Products!$E$5:$E$34,""))</x:f>
      </x:c>
      <x:c r="G79" s="19" t="str">
        <x:f>IF(OR($C79="",$E79=""),"",$E79*$F79)</x:f>
      </x:c>
      <x:c r="H79" s="18"/>
    </x:row>
    <x:row r="80" ht="15" hidden="0" customHeight="1">
      <x:c r="A80" s="22"/>
      <x:c r="B80" s="18"/>
      <x:c r="C80" s="18"/>
      <x:c r="D80" s="18" t="str">
        <x:f>IF($C80="","",XLOOKUP($C80,Products!$A$5:$A$34,Products!$B$5:$B$34,""))</x:f>
      </x:c>
      <x:c r="E80" s="18"/>
      <x:c r="F80" s="19" t="str">
        <x:f>IF($C80="","",XLOOKUP($C80,Products!$A$5:$A$34,Products!$E$5:$E$34,""))</x:f>
      </x:c>
      <x:c r="G80" s="19" t="str">
        <x:f>IF(OR($C80="",$E80=""),"",$E80*$F80)</x:f>
      </x:c>
      <x:c r="H80" s="18"/>
    </x:row>
    <x:row r="81" ht="15" hidden="0" customHeight="1">
      <x:c r="A81" s="22"/>
      <x:c r="B81" s="18"/>
      <x:c r="C81" s="18"/>
      <x:c r="D81" s="18" t="str">
        <x:f>IF($C81="","",XLOOKUP($C81,Products!$A$5:$A$34,Products!$B$5:$B$34,""))</x:f>
      </x:c>
      <x:c r="E81" s="18"/>
      <x:c r="F81" s="19" t="str">
        <x:f>IF($C81="","",XLOOKUP($C81,Products!$A$5:$A$34,Products!$E$5:$E$34,""))</x:f>
      </x:c>
      <x:c r="G81" s="19" t="str">
        <x:f>IF(OR($C81="",$E81=""),"",$E81*$F81)</x:f>
      </x:c>
      <x:c r="H81" s="18"/>
    </x:row>
    <x:row r="82" ht="15" hidden="0" customHeight="1">
      <x:c r="A82" s="22"/>
      <x:c r="B82" s="18"/>
      <x:c r="C82" s="18"/>
      <x:c r="D82" s="18" t="str">
        <x:f>IF($C82="","",XLOOKUP($C82,Products!$A$5:$A$34,Products!$B$5:$B$34,""))</x:f>
      </x:c>
      <x:c r="E82" s="18"/>
      <x:c r="F82" s="19" t="str">
        <x:f>IF($C82="","",XLOOKUP($C82,Products!$A$5:$A$34,Products!$E$5:$E$34,""))</x:f>
      </x:c>
      <x:c r="G82" s="19" t="str">
        <x:f>IF(OR($C82="",$E82=""),"",$E82*$F82)</x:f>
      </x:c>
      <x:c r="H82" s="18"/>
    </x:row>
    <x:row r="83" ht="15" hidden="0" customHeight="1">
      <x:c r="A83" s="22"/>
      <x:c r="B83" s="18"/>
      <x:c r="C83" s="18"/>
      <x:c r="D83" s="18" t="str">
        <x:f>IF($C83="","",XLOOKUP($C83,Products!$A$5:$A$34,Products!$B$5:$B$34,""))</x:f>
      </x:c>
      <x:c r="E83" s="18"/>
      <x:c r="F83" s="19" t="str">
        <x:f>IF($C83="","",XLOOKUP($C83,Products!$A$5:$A$34,Products!$E$5:$E$34,""))</x:f>
      </x:c>
      <x:c r="G83" s="19" t="str">
        <x:f>IF(OR($C83="",$E83=""),"",$E83*$F83)</x:f>
      </x:c>
      <x:c r="H83" s="18"/>
    </x:row>
    <x:row r="84" ht="15" hidden="0" customHeight="1">
      <x:c r="A84" s="22"/>
      <x:c r="B84" s="18"/>
      <x:c r="C84" s="18"/>
      <x:c r="D84" s="18" t="str">
        <x:f>IF($C84="","",XLOOKUP($C84,Products!$A$5:$A$34,Products!$B$5:$B$34,""))</x:f>
      </x:c>
      <x:c r="E84" s="18"/>
      <x:c r="F84" s="19" t="str">
        <x:f>IF($C84="","",XLOOKUP($C84,Products!$A$5:$A$34,Products!$E$5:$E$34,""))</x:f>
      </x:c>
      <x:c r="G84" s="19" t="str">
        <x:f>IF(OR($C84="",$E84=""),"",$E84*$F84)</x:f>
      </x:c>
      <x:c r="H84" s="18"/>
    </x:row>
    <x:row r="85" ht="15" hidden="0" customHeight="1">
      <x:c r="A85" s="22"/>
      <x:c r="B85" s="18"/>
      <x:c r="C85" s="18"/>
      <x:c r="D85" s="18" t="str">
        <x:f>IF($C85="","",XLOOKUP($C85,Products!$A$5:$A$34,Products!$B$5:$B$34,""))</x:f>
      </x:c>
      <x:c r="E85" s="18"/>
      <x:c r="F85" s="19" t="str">
        <x:f>IF($C85="","",XLOOKUP($C85,Products!$A$5:$A$34,Products!$E$5:$E$34,""))</x:f>
      </x:c>
      <x:c r="G85" s="19" t="str">
        <x:f>IF(OR($C85="",$E85=""),"",$E85*$F85)</x:f>
      </x:c>
      <x:c r="H85" s="18"/>
    </x:row>
    <x:row r="86" ht="15" hidden="0" customHeight="1">
      <x:c r="A86" s="22"/>
      <x:c r="B86" s="18"/>
      <x:c r="C86" s="18"/>
      <x:c r="D86" s="18" t="str">
        <x:f>IF($C86="","",XLOOKUP($C86,Products!$A$5:$A$34,Products!$B$5:$B$34,""))</x:f>
      </x:c>
      <x:c r="E86" s="18"/>
      <x:c r="F86" s="19" t="str">
        <x:f>IF($C86="","",XLOOKUP($C86,Products!$A$5:$A$34,Products!$E$5:$E$34,""))</x:f>
      </x:c>
      <x:c r="G86" s="19" t="str">
        <x:f>IF(OR($C86="",$E86=""),"",$E86*$F86)</x:f>
      </x:c>
      <x:c r="H86" s="18"/>
    </x:row>
    <x:row r="87" ht="15" hidden="0" customHeight="1">
      <x:c r="A87" s="22"/>
      <x:c r="B87" s="18"/>
      <x:c r="C87" s="18"/>
      <x:c r="D87" s="18" t="str">
        <x:f>IF($C87="","",XLOOKUP($C87,Products!$A$5:$A$34,Products!$B$5:$B$34,""))</x:f>
      </x:c>
      <x:c r="E87" s="18"/>
      <x:c r="F87" s="19" t="str">
        <x:f>IF($C87="","",XLOOKUP($C87,Products!$A$5:$A$34,Products!$E$5:$E$34,""))</x:f>
      </x:c>
      <x:c r="G87" s="19" t="str">
        <x:f>IF(OR($C87="",$E87=""),"",$E87*$F87)</x:f>
      </x:c>
      <x:c r="H87" s="18"/>
    </x:row>
    <x:row r="88" ht="15" hidden="0" customHeight="1">
      <x:c r="A88" s="22"/>
      <x:c r="B88" s="18"/>
      <x:c r="C88" s="18"/>
      <x:c r="D88" s="18" t="str">
        <x:f>IF($C88="","",XLOOKUP($C88,Products!$A$5:$A$34,Products!$B$5:$B$34,""))</x:f>
      </x:c>
      <x:c r="E88" s="18"/>
      <x:c r="F88" s="19" t="str">
        <x:f>IF($C88="","",XLOOKUP($C88,Products!$A$5:$A$34,Products!$E$5:$E$34,""))</x:f>
      </x:c>
      <x:c r="G88" s="19" t="str">
        <x:f>IF(OR($C88="",$E88=""),"",$E88*$F88)</x:f>
      </x:c>
      <x:c r="H88" s="18"/>
    </x:row>
    <x:row r="89" ht="15" hidden="0" customHeight="1">
      <x:c r="A89" s="22"/>
      <x:c r="B89" s="18"/>
      <x:c r="C89" s="18"/>
      <x:c r="D89" s="18" t="str">
        <x:f>IF($C89="","",XLOOKUP($C89,Products!$A$5:$A$34,Products!$B$5:$B$34,""))</x:f>
      </x:c>
      <x:c r="E89" s="18"/>
      <x:c r="F89" s="19" t="str">
        <x:f>IF($C89="","",XLOOKUP($C89,Products!$A$5:$A$34,Products!$E$5:$E$34,""))</x:f>
      </x:c>
      <x:c r="G89" s="19" t="str">
        <x:f>IF(OR($C89="",$E89=""),"",$E89*$F89)</x:f>
      </x:c>
      <x:c r="H89" s="18"/>
    </x:row>
    <x:row r="90" ht="15" hidden="0" customHeight="1">
      <x:c r="A90" s="22"/>
      <x:c r="B90" s="18"/>
      <x:c r="C90" s="18"/>
      <x:c r="D90" s="18" t="str">
        <x:f>IF($C90="","",XLOOKUP($C90,Products!$A$5:$A$34,Products!$B$5:$B$34,""))</x:f>
      </x:c>
      <x:c r="E90" s="18"/>
      <x:c r="F90" s="19" t="str">
        <x:f>IF($C90="","",XLOOKUP($C90,Products!$A$5:$A$34,Products!$E$5:$E$34,""))</x:f>
      </x:c>
      <x:c r="G90" s="19" t="str">
        <x:f>IF(OR($C90="",$E90=""),"",$E90*$F90)</x:f>
      </x:c>
      <x:c r="H90" s="18"/>
    </x:row>
    <x:row r="91" ht="15" hidden="0" customHeight="1">
      <x:c r="A91" s="22"/>
      <x:c r="B91" s="18"/>
      <x:c r="C91" s="18"/>
      <x:c r="D91" s="18" t="str">
        <x:f>IF($C91="","",XLOOKUP($C91,Products!$A$5:$A$34,Products!$B$5:$B$34,""))</x:f>
      </x:c>
      <x:c r="E91" s="18"/>
      <x:c r="F91" s="19" t="str">
        <x:f>IF($C91="","",XLOOKUP($C91,Products!$A$5:$A$34,Products!$E$5:$E$34,""))</x:f>
      </x:c>
      <x:c r="G91" s="19" t="str">
        <x:f>IF(OR($C91="",$E91=""),"",$E91*$F91)</x:f>
      </x:c>
      <x:c r="H91" s="18"/>
    </x:row>
    <x:row r="92" ht="15" hidden="0" customHeight="1">
      <x:c r="A92" s="22"/>
      <x:c r="B92" s="18"/>
      <x:c r="C92" s="18"/>
      <x:c r="D92" s="18" t="str">
        <x:f>IF($C92="","",XLOOKUP($C92,Products!$A$5:$A$34,Products!$B$5:$B$34,""))</x:f>
      </x:c>
      <x:c r="E92" s="18"/>
      <x:c r="F92" s="19" t="str">
        <x:f>IF($C92="","",XLOOKUP($C92,Products!$A$5:$A$34,Products!$E$5:$E$34,""))</x:f>
      </x:c>
      <x:c r="G92" s="19" t="str">
        <x:f>IF(OR($C92="",$E92=""),"",$E92*$F92)</x:f>
      </x:c>
      <x:c r="H92" s="18"/>
    </x:row>
    <x:row r="93" ht="15" hidden="0" customHeight="1">
      <x:c r="A93" s="22"/>
      <x:c r="B93" s="18"/>
      <x:c r="C93" s="18"/>
      <x:c r="D93" s="18" t="str">
        <x:f>IF($C93="","",XLOOKUP($C93,Products!$A$5:$A$34,Products!$B$5:$B$34,""))</x:f>
      </x:c>
      <x:c r="E93" s="18"/>
      <x:c r="F93" s="19" t="str">
        <x:f>IF($C93="","",XLOOKUP($C93,Products!$A$5:$A$34,Products!$E$5:$E$34,""))</x:f>
      </x:c>
      <x:c r="G93" s="19" t="str">
        <x:f>IF(OR($C93="",$E93=""),"",$E93*$F93)</x:f>
      </x:c>
      <x:c r="H93" s="18"/>
    </x:row>
    <x:row r="94" ht="15" hidden="0" customHeight="1">
      <x:c r="A94" s="22"/>
      <x:c r="B94" s="18"/>
      <x:c r="C94" s="18"/>
      <x:c r="D94" s="18" t="str">
        <x:f>IF($C94="","",XLOOKUP($C94,Products!$A$5:$A$34,Products!$B$5:$B$34,""))</x:f>
      </x:c>
      <x:c r="E94" s="18"/>
      <x:c r="F94" s="19" t="str">
        <x:f>IF($C94="","",XLOOKUP($C94,Products!$A$5:$A$34,Products!$E$5:$E$34,""))</x:f>
      </x:c>
      <x:c r="G94" s="19" t="str">
        <x:f>IF(OR($C94="",$E94=""),"",$E94*$F94)</x:f>
      </x:c>
      <x:c r="H94" s="18"/>
    </x:row>
    <x:row r="95" ht="15" hidden="0" customHeight="1">
      <x:c r="A95" s="22"/>
      <x:c r="B95" s="18"/>
      <x:c r="C95" s="18"/>
      <x:c r="D95" s="18" t="str">
        <x:f>IF($C95="","",XLOOKUP($C95,Products!$A$5:$A$34,Products!$B$5:$B$34,""))</x:f>
      </x:c>
      <x:c r="E95" s="18"/>
      <x:c r="F95" s="19" t="str">
        <x:f>IF($C95="","",XLOOKUP($C95,Products!$A$5:$A$34,Products!$E$5:$E$34,""))</x:f>
      </x:c>
      <x:c r="G95" s="19" t="str">
        <x:f>IF(OR($C95="",$E95=""),"",$E95*$F95)</x:f>
      </x:c>
      <x:c r="H95" s="18"/>
    </x:row>
    <x:row r="96" ht="15" hidden="0" customHeight="1">
      <x:c r="A96" s="22"/>
      <x:c r="B96" s="18"/>
      <x:c r="C96" s="18"/>
      <x:c r="D96" s="18" t="str">
        <x:f>IF($C96="","",XLOOKUP($C96,Products!$A$5:$A$34,Products!$B$5:$B$34,""))</x:f>
      </x:c>
      <x:c r="E96" s="18"/>
      <x:c r="F96" s="19" t="str">
        <x:f>IF($C96="","",XLOOKUP($C96,Products!$A$5:$A$34,Products!$E$5:$E$34,""))</x:f>
      </x:c>
      <x:c r="G96" s="19" t="str">
        <x:f>IF(OR($C96="",$E96=""),"",$E96*$F96)</x:f>
      </x:c>
      <x:c r="H96" s="18"/>
    </x:row>
    <x:row r="97" ht="15" hidden="0" customHeight="1">
      <x:c r="A97" s="22"/>
      <x:c r="B97" s="18"/>
      <x:c r="C97" s="18"/>
      <x:c r="D97" s="18" t="str">
        <x:f>IF($C97="","",XLOOKUP($C97,Products!$A$5:$A$34,Products!$B$5:$B$34,""))</x:f>
      </x:c>
      <x:c r="E97" s="18"/>
      <x:c r="F97" s="19" t="str">
        <x:f>IF($C97="","",XLOOKUP($C97,Products!$A$5:$A$34,Products!$E$5:$E$34,""))</x:f>
      </x:c>
      <x:c r="G97" s="19" t="str">
        <x:f>IF(OR($C97="",$E97=""),"",$E97*$F97)</x:f>
      </x:c>
      <x:c r="H97" s="18"/>
    </x:row>
    <x:row r="98" ht="15" hidden="0" customHeight="1">
      <x:c r="A98" s="22"/>
      <x:c r="B98" s="18"/>
      <x:c r="C98" s="18"/>
      <x:c r="D98" s="18" t="str">
        <x:f>IF($C98="","",XLOOKUP($C98,Products!$A$5:$A$34,Products!$B$5:$B$34,""))</x:f>
      </x:c>
      <x:c r="E98" s="18"/>
      <x:c r="F98" s="19" t="str">
        <x:f>IF($C98="","",XLOOKUP($C98,Products!$A$5:$A$34,Products!$E$5:$E$34,""))</x:f>
      </x:c>
      <x:c r="G98" s="19" t="str">
        <x:f>IF(OR($C98="",$E98=""),"",$E98*$F98)</x:f>
      </x:c>
      <x:c r="H98" s="18"/>
    </x:row>
    <x:row r="99" ht="15" hidden="0" customHeight="1">
      <x:c r="A99" s="22"/>
      <x:c r="B99" s="18"/>
      <x:c r="C99" s="18"/>
      <x:c r="D99" s="18" t="str">
        <x:f>IF($C99="","",XLOOKUP($C99,Products!$A$5:$A$34,Products!$B$5:$B$34,""))</x:f>
      </x:c>
      <x:c r="E99" s="18"/>
      <x:c r="F99" s="19" t="str">
        <x:f>IF($C99="","",XLOOKUP($C99,Products!$A$5:$A$34,Products!$E$5:$E$34,""))</x:f>
      </x:c>
      <x:c r="G99" s="19" t="str">
        <x:f>IF(OR($C99="",$E99=""),"",$E99*$F99)</x:f>
      </x:c>
      <x:c r="H99" s="18"/>
    </x:row>
    <x:row r="100" ht="15" hidden="0" customHeight="1">
      <x:c r="A100" s="22"/>
      <x:c r="B100" s="18"/>
      <x:c r="C100" s="18"/>
      <x:c r="D100" s="18" t="str">
        <x:f>IF($C100="","",XLOOKUP($C100,Products!$A$5:$A$34,Products!$B$5:$B$34,""))</x:f>
      </x:c>
      <x:c r="E100" s="18"/>
      <x:c r="F100" s="19" t="str">
        <x:f>IF($C100="","",XLOOKUP($C100,Products!$A$5:$A$34,Products!$E$5:$E$34,""))</x:f>
      </x:c>
      <x:c r="G100" s="19" t="str">
        <x:f>IF(OR($C100="",$E100=""),"",$E100*$F100)</x:f>
      </x:c>
      <x:c r="H100" s="18"/>
    </x:row>
    <x:row r="101" ht="15" hidden="0" customHeight="1">
      <x:c r="A101" s="22"/>
      <x:c r="B101" s="18"/>
      <x:c r="C101" s="18"/>
      <x:c r="D101" s="18" t="str">
        <x:f>IF($C101="","",XLOOKUP($C101,Products!$A$5:$A$34,Products!$B$5:$B$34,""))</x:f>
      </x:c>
      <x:c r="E101" s="18"/>
      <x:c r="F101" s="19" t="str">
        <x:f>IF($C101="","",XLOOKUP($C101,Products!$A$5:$A$34,Products!$E$5:$E$34,""))</x:f>
      </x:c>
      <x:c r="G101" s="19" t="str">
        <x:f>IF(OR($C101="",$E101=""),"",$E101*$F101)</x:f>
      </x:c>
      <x:c r="H101" s="18"/>
    </x:row>
    <x:row r="102" ht="15" hidden="0" customHeight="1">
      <x:c r="A102" s="22"/>
      <x:c r="B102" s="18"/>
      <x:c r="C102" s="18"/>
      <x:c r="D102" s="18" t="str">
        <x:f>IF($C102="","",XLOOKUP($C102,Products!$A$5:$A$34,Products!$B$5:$B$34,""))</x:f>
      </x:c>
      <x:c r="E102" s="18"/>
      <x:c r="F102" s="19" t="str">
        <x:f>IF($C102="","",XLOOKUP($C102,Products!$A$5:$A$34,Products!$E$5:$E$34,""))</x:f>
      </x:c>
      <x:c r="G102" s="19" t="str">
        <x:f>IF(OR($C102="",$E102=""),"",$E102*$F102)</x:f>
      </x:c>
      <x:c r="H102" s="18"/>
    </x:row>
    <x:row r="103" ht="15" hidden="0" customHeight="1">
      <x:c r="A103" s="22"/>
      <x:c r="B103" s="18"/>
      <x:c r="C103" s="18"/>
      <x:c r="D103" s="18" t="str">
        <x:f>IF($C103="","",XLOOKUP($C103,Products!$A$5:$A$34,Products!$B$5:$B$34,""))</x:f>
      </x:c>
      <x:c r="E103" s="18"/>
      <x:c r="F103" s="19" t="str">
        <x:f>IF($C103="","",XLOOKUP($C103,Products!$A$5:$A$34,Products!$E$5:$E$34,""))</x:f>
      </x:c>
      <x:c r="G103" s="19" t="str">
        <x:f>IF(OR($C103="",$E103=""),"",$E103*$F103)</x:f>
      </x:c>
      <x:c r="H103" s="18"/>
    </x:row>
    <x:row r="104" ht="15" hidden="0" customHeight="1">
      <x:c r="A104" s="22"/>
      <x:c r="B104" s="18"/>
      <x:c r="C104" s="18"/>
      <x:c r="D104" s="18" t="str">
        <x:f>IF($C104="","",XLOOKUP($C104,Products!$A$5:$A$34,Products!$B$5:$B$34,""))</x:f>
      </x:c>
      <x:c r="E104" s="18"/>
      <x:c r="F104" s="19" t="str">
        <x:f>IF($C104="","",XLOOKUP($C104,Products!$A$5:$A$34,Products!$E$5:$E$34,""))</x:f>
      </x:c>
      <x:c r="G104" s="19" t="str">
        <x:f>IF(OR($C104="",$E104=""),"",$E104*$F104)</x:f>
      </x:c>
      <x:c r="H104" s="18"/>
    </x:row>
    <x:row r="105" ht="15" hidden="0" customHeight="1">
      <x:c r="A105" s="22"/>
      <x:c r="B105" s="18"/>
      <x:c r="C105" s="18"/>
      <x:c r="D105" s="18" t="str">
        <x:f>IF($C105="","",XLOOKUP($C105,Products!$A$5:$A$34,Products!$B$5:$B$34,""))</x:f>
      </x:c>
      <x:c r="E105" s="18"/>
      <x:c r="F105" s="19" t="str">
        <x:f>IF($C105="","",XLOOKUP($C105,Products!$A$5:$A$34,Products!$E$5:$E$34,""))</x:f>
      </x:c>
      <x:c r="G105" s="19" t="str">
        <x:f>IF(OR($C105="",$E105=""),"",$E105*$F105)</x:f>
      </x:c>
      <x:c r="H105" s="18"/>
    </x:row>
    <x:row r="106" ht="15" hidden="0" customHeight="1">
      <x:c r="A106" s="22"/>
      <x:c r="B106" s="18"/>
      <x:c r="C106" s="18"/>
      <x:c r="D106" s="18" t="str">
        <x:f>IF($C106="","",XLOOKUP($C106,Products!$A$5:$A$34,Products!$B$5:$B$34,""))</x:f>
      </x:c>
      <x:c r="E106" s="18"/>
      <x:c r="F106" s="19" t="str">
        <x:f>IF($C106="","",XLOOKUP($C106,Products!$A$5:$A$34,Products!$E$5:$E$34,""))</x:f>
      </x:c>
      <x:c r="G106" s="19" t="str">
        <x:f>IF(OR($C106="",$E106=""),"",$E106*$F106)</x:f>
      </x:c>
      <x:c r="H106" s="18"/>
    </x:row>
    <x:row r="107" ht="15" hidden="0" customHeight="1">
      <x:c r="A107" s="22"/>
      <x:c r="B107" s="18"/>
      <x:c r="C107" s="18"/>
      <x:c r="D107" s="18" t="str">
        <x:f>IF($C107="","",XLOOKUP($C107,Products!$A$5:$A$34,Products!$B$5:$B$34,""))</x:f>
      </x:c>
      <x:c r="E107" s="18"/>
      <x:c r="F107" s="19" t="str">
        <x:f>IF($C107="","",XLOOKUP($C107,Products!$A$5:$A$34,Products!$E$5:$E$34,""))</x:f>
      </x:c>
      <x:c r="G107" s="19" t="str">
        <x:f>IF(OR($C107="",$E107=""),"",$E107*$F107)</x:f>
      </x:c>
      <x:c r="H107" s="18"/>
    </x:row>
    <x:row r="108" ht="15" hidden="0" customHeight="1">
      <x:c r="A108" s="22"/>
      <x:c r="B108" s="18"/>
      <x:c r="C108" s="18"/>
      <x:c r="D108" s="18" t="str">
        <x:f>IF($C108="","",XLOOKUP($C108,Products!$A$5:$A$34,Products!$B$5:$B$34,""))</x:f>
      </x:c>
      <x:c r="E108" s="18"/>
      <x:c r="F108" s="19" t="str">
        <x:f>IF($C108="","",XLOOKUP($C108,Products!$A$5:$A$34,Products!$E$5:$E$34,""))</x:f>
      </x:c>
      <x:c r="G108" s="19" t="str">
        <x:f>IF(OR($C108="",$E108=""),"",$E108*$F108)</x:f>
      </x:c>
      <x:c r="H108" s="18"/>
    </x:row>
    <x:row r="109" ht="15" hidden="0" customHeight="1">
      <x:c r="A109" s="22"/>
      <x:c r="B109" s="18"/>
      <x:c r="C109" s="18"/>
      <x:c r="D109" s="18" t="str">
        <x:f>IF($C109="","",XLOOKUP($C109,Products!$A$5:$A$34,Products!$B$5:$B$34,""))</x:f>
      </x:c>
      <x:c r="E109" s="18"/>
      <x:c r="F109" s="19" t="str">
        <x:f>IF($C109="","",XLOOKUP($C109,Products!$A$5:$A$34,Products!$E$5:$E$34,""))</x:f>
      </x:c>
      <x:c r="G109" s="19" t="str">
        <x:f>IF(OR($C109="",$E109=""),"",$E109*$F109)</x:f>
      </x:c>
      <x:c r="H109" s="18"/>
    </x:row>
    <x:row r="110" ht="15" hidden="0" customHeight="1">
      <x:c r="A110" s="22"/>
      <x:c r="B110" s="18"/>
      <x:c r="C110" s="18"/>
      <x:c r="D110" s="18" t="str">
        <x:f>IF($C110="","",XLOOKUP($C110,Products!$A$5:$A$34,Products!$B$5:$B$34,""))</x:f>
      </x:c>
      <x:c r="E110" s="18"/>
      <x:c r="F110" s="19" t="str">
        <x:f>IF($C110="","",XLOOKUP($C110,Products!$A$5:$A$34,Products!$E$5:$E$34,""))</x:f>
      </x:c>
      <x:c r="G110" s="19" t="str">
        <x:f>IF(OR($C110="",$E110=""),"",$E110*$F110)</x:f>
      </x:c>
      <x:c r="H110" s="18"/>
    </x:row>
    <x:row r="111" ht="15" hidden="0" customHeight="1">
      <x:c r="A111" s="22"/>
      <x:c r="B111" s="18"/>
      <x:c r="C111" s="18"/>
      <x:c r="D111" s="18" t="str">
        <x:f>IF($C111="","",XLOOKUP($C111,Products!$A$5:$A$34,Products!$B$5:$B$34,""))</x:f>
      </x:c>
      <x:c r="E111" s="18"/>
      <x:c r="F111" s="19" t="str">
        <x:f>IF($C111="","",XLOOKUP($C111,Products!$A$5:$A$34,Products!$E$5:$E$34,""))</x:f>
      </x:c>
      <x:c r="G111" s="19" t="str">
        <x:f>IF(OR($C111="",$E111=""),"",$E111*$F111)</x:f>
      </x:c>
      <x:c r="H111" s="18"/>
    </x:row>
    <x:row r="112" ht="15" hidden="0" customHeight="1">
      <x:c r="A112" s="22"/>
      <x:c r="B112" s="18"/>
      <x:c r="C112" s="18"/>
      <x:c r="D112" s="18" t="str">
        <x:f>IF($C112="","",XLOOKUP($C112,Products!$A$5:$A$34,Products!$B$5:$B$34,""))</x:f>
      </x:c>
      <x:c r="E112" s="18"/>
      <x:c r="F112" s="19" t="str">
        <x:f>IF($C112="","",XLOOKUP($C112,Products!$A$5:$A$34,Products!$E$5:$E$34,""))</x:f>
      </x:c>
      <x:c r="G112" s="19" t="str">
        <x:f>IF(OR($C112="",$E112=""),"",$E112*$F112)</x:f>
      </x:c>
      <x:c r="H112" s="18"/>
    </x:row>
    <x:row r="113" ht="15" hidden="0" customHeight="1">
      <x:c r="A113" s="22"/>
      <x:c r="B113" s="18"/>
      <x:c r="C113" s="18"/>
      <x:c r="D113" s="18" t="str">
        <x:f>IF($C113="","",XLOOKUP($C113,Products!$A$5:$A$34,Products!$B$5:$B$34,""))</x:f>
      </x:c>
      <x:c r="E113" s="18"/>
      <x:c r="F113" s="19" t="str">
        <x:f>IF($C113="","",XLOOKUP($C113,Products!$A$5:$A$34,Products!$E$5:$E$34,""))</x:f>
      </x:c>
      <x:c r="G113" s="19" t="str">
        <x:f>IF(OR($C113="",$E113=""),"",$E113*$F113)</x:f>
      </x:c>
      <x:c r="H113" s="18"/>
    </x:row>
    <x:row r="114" ht="15" hidden="0" customHeight="1">
      <x:c r="A114" s="22"/>
      <x:c r="B114" s="18"/>
      <x:c r="C114" s="18"/>
      <x:c r="D114" s="18" t="str">
        <x:f>IF($C114="","",XLOOKUP($C114,Products!$A$5:$A$34,Products!$B$5:$B$34,""))</x:f>
      </x:c>
      <x:c r="E114" s="18"/>
      <x:c r="F114" s="19" t="str">
        <x:f>IF($C114="","",XLOOKUP($C114,Products!$A$5:$A$34,Products!$E$5:$E$34,""))</x:f>
      </x:c>
      <x:c r="G114" s="19" t="str">
        <x:f>IF(OR($C114="",$E114=""),"",$E114*$F114)</x:f>
      </x:c>
      <x:c r="H114" s="18"/>
    </x:row>
    <x:row r="115" ht="15" hidden="0" customHeight="1">
      <x:c r="A115" s="22"/>
      <x:c r="B115" s="18"/>
      <x:c r="C115" s="18"/>
      <x:c r="D115" s="18" t="str">
        <x:f>IF($C115="","",XLOOKUP($C115,Products!$A$5:$A$34,Products!$B$5:$B$34,""))</x:f>
      </x:c>
      <x:c r="E115" s="18"/>
      <x:c r="F115" s="19" t="str">
        <x:f>IF($C115="","",XLOOKUP($C115,Products!$A$5:$A$34,Products!$E$5:$E$34,""))</x:f>
      </x:c>
      <x:c r="G115" s="19" t="str">
        <x:f>IF(OR($C115="",$E115=""),"",$E115*$F115)</x:f>
      </x:c>
      <x:c r="H115" s="18"/>
    </x:row>
    <x:row r="116" ht="15" hidden="0" customHeight="1">
      <x:c r="A116" s="22"/>
      <x:c r="B116" s="18"/>
      <x:c r="C116" s="18"/>
      <x:c r="D116" s="18" t="str">
        <x:f>IF($C116="","",XLOOKUP($C116,Products!$A$5:$A$34,Products!$B$5:$B$34,""))</x:f>
      </x:c>
      <x:c r="E116" s="18"/>
      <x:c r="F116" s="19" t="str">
        <x:f>IF($C116="","",XLOOKUP($C116,Products!$A$5:$A$34,Products!$E$5:$E$34,""))</x:f>
      </x:c>
      <x:c r="G116" s="19" t="str">
        <x:f>IF(OR($C116="",$E116=""),"",$E116*$F116)</x:f>
      </x:c>
      <x:c r="H116" s="18"/>
    </x:row>
    <x:row r="117" ht="15" hidden="0" customHeight="1">
      <x:c r="A117" s="22"/>
      <x:c r="B117" s="18"/>
      <x:c r="C117" s="18"/>
      <x:c r="D117" s="18" t="str">
        <x:f>IF($C117="","",XLOOKUP($C117,Products!$A$5:$A$34,Products!$B$5:$B$34,""))</x:f>
      </x:c>
      <x:c r="E117" s="18"/>
      <x:c r="F117" s="19" t="str">
        <x:f>IF($C117="","",XLOOKUP($C117,Products!$A$5:$A$34,Products!$E$5:$E$34,""))</x:f>
      </x:c>
      <x:c r="G117" s="19" t="str">
        <x:f>IF(OR($C117="",$E117=""),"",$E117*$F117)</x:f>
      </x:c>
      <x:c r="H117" s="18"/>
    </x:row>
    <x:row r="118" ht="15" hidden="0" customHeight="1">
      <x:c r="A118" s="22"/>
      <x:c r="B118" s="18"/>
      <x:c r="C118" s="18"/>
      <x:c r="D118" s="18" t="str">
        <x:f>IF($C118="","",XLOOKUP($C118,Products!$A$5:$A$34,Products!$B$5:$B$34,""))</x:f>
      </x:c>
      <x:c r="E118" s="18"/>
      <x:c r="F118" s="19" t="str">
        <x:f>IF($C118="","",XLOOKUP($C118,Products!$A$5:$A$34,Products!$E$5:$E$34,""))</x:f>
      </x:c>
      <x:c r="G118" s="19" t="str">
        <x:f>IF(OR($C118="",$E118=""),"",$E118*$F118)</x:f>
      </x:c>
      <x:c r="H118" s="18"/>
    </x:row>
    <x:row r="119" ht="15" hidden="0" customHeight="1">
      <x:c r="A119" s="22"/>
      <x:c r="B119" s="18"/>
      <x:c r="C119" s="18"/>
      <x:c r="D119" s="18" t="str">
        <x:f>IF($C119="","",XLOOKUP($C119,Products!$A$5:$A$34,Products!$B$5:$B$34,""))</x:f>
      </x:c>
      <x:c r="E119" s="18"/>
      <x:c r="F119" s="19" t="str">
        <x:f>IF($C119="","",XLOOKUP($C119,Products!$A$5:$A$34,Products!$E$5:$E$34,""))</x:f>
      </x:c>
      <x:c r="G119" s="19" t="str">
        <x:f>IF(OR($C119="",$E119=""),"",$E119*$F119)</x:f>
      </x:c>
      <x:c r="H119" s="18"/>
    </x:row>
    <x:row r="120" ht="15" hidden="0" customHeight="1">
      <x:c r="A120" s="22"/>
      <x:c r="B120" s="18"/>
      <x:c r="C120" s="18"/>
      <x:c r="D120" s="18" t="str">
        <x:f>IF($C120="","",XLOOKUP($C120,Products!$A$5:$A$34,Products!$B$5:$B$34,""))</x:f>
      </x:c>
      <x:c r="E120" s="18"/>
      <x:c r="F120" s="19" t="str">
        <x:f>IF($C120="","",XLOOKUP($C120,Products!$A$5:$A$34,Products!$E$5:$E$34,""))</x:f>
      </x:c>
      <x:c r="G120" s="19" t="str">
        <x:f>IF(OR($C120="",$E120=""),"",$E120*$F120)</x:f>
      </x:c>
      <x:c r="H120" s="18"/>
    </x:row>
    <x:row r="121" ht="15" hidden="0" customHeight="1">
      <x:c r="A121" s="22"/>
      <x:c r="B121" s="18"/>
      <x:c r="C121" s="18"/>
      <x:c r="D121" s="18" t="str">
        <x:f>IF($C121="","",XLOOKUP($C121,Products!$A$5:$A$34,Products!$B$5:$B$34,""))</x:f>
      </x:c>
      <x:c r="E121" s="18"/>
      <x:c r="F121" s="19" t="str">
        <x:f>IF($C121="","",XLOOKUP($C121,Products!$A$5:$A$34,Products!$E$5:$E$34,""))</x:f>
      </x:c>
      <x:c r="G121" s="19" t="str">
        <x:f>IF(OR($C121="",$E121=""),"",$E121*$F121)</x:f>
      </x:c>
      <x:c r="H121" s="18"/>
    </x:row>
    <x:row r="122" ht="15" hidden="0" customHeight="1">
      <x:c r="A122" s="22"/>
      <x:c r="B122" s="18"/>
      <x:c r="C122" s="18"/>
      <x:c r="D122" s="18" t="str">
        <x:f>IF($C122="","",XLOOKUP($C122,Products!$A$5:$A$34,Products!$B$5:$B$34,""))</x:f>
      </x:c>
      <x:c r="E122" s="18"/>
      <x:c r="F122" s="19" t="str">
        <x:f>IF($C122="","",XLOOKUP($C122,Products!$A$5:$A$34,Products!$E$5:$E$34,""))</x:f>
      </x:c>
      <x:c r="G122" s="19" t="str">
        <x:f>IF(OR($C122="",$E122=""),"",$E122*$F122)</x:f>
      </x:c>
      <x:c r="H122" s="18"/>
    </x:row>
    <x:row r="123" ht="15" hidden="0" customHeight="1">
      <x:c r="A123" s="22"/>
      <x:c r="B123" s="18"/>
      <x:c r="C123" s="18"/>
      <x:c r="D123" s="18" t="str">
        <x:f>IF($C123="","",XLOOKUP($C123,Products!$A$5:$A$34,Products!$B$5:$B$34,""))</x:f>
      </x:c>
      <x:c r="E123" s="18"/>
      <x:c r="F123" s="19" t="str">
        <x:f>IF($C123="","",XLOOKUP($C123,Products!$A$5:$A$34,Products!$E$5:$E$34,""))</x:f>
      </x:c>
      <x:c r="G123" s="19" t="str">
        <x:f>IF(OR($C123="",$E123=""),"",$E123*$F123)</x:f>
      </x:c>
      <x:c r="H123" s="18"/>
    </x:row>
    <x:row r="124" ht="15" hidden="0" customHeight="1">
      <x:c r="A124" s="22"/>
      <x:c r="B124" s="18"/>
      <x:c r="C124" s="18"/>
      <x:c r="D124" s="18" t="str">
        <x:f>IF($C124="","",XLOOKUP($C124,Products!$A$5:$A$34,Products!$B$5:$B$34,""))</x:f>
      </x:c>
      <x:c r="E124" s="18"/>
      <x:c r="F124" s="19" t="str">
        <x:f>IF($C124="","",XLOOKUP($C124,Products!$A$5:$A$34,Products!$E$5:$E$34,""))</x:f>
      </x:c>
      <x:c r="G124" s="19" t="str">
        <x:f>IF(OR($C124="",$E124=""),"",$E124*$F124)</x:f>
      </x:c>
      <x:c r="H124" s="18"/>
    </x:row>
    <x:row r="125" ht="15" hidden="0" customHeight="1">
      <x:c r="A125" s="22"/>
      <x:c r="B125" s="18"/>
      <x:c r="C125" s="18"/>
      <x:c r="D125" s="18" t="str">
        <x:f>IF($C125="","",XLOOKUP($C125,Products!$A$5:$A$34,Products!$B$5:$B$34,""))</x:f>
      </x:c>
      <x:c r="E125" s="18"/>
      <x:c r="F125" s="19" t="str">
        <x:f>IF($C125="","",XLOOKUP($C125,Products!$A$5:$A$34,Products!$E$5:$E$34,""))</x:f>
      </x:c>
      <x:c r="G125" s="19" t="str">
        <x:f>IF(OR($C125="",$E125=""),"",$E125*$F125)</x:f>
      </x:c>
      <x:c r="H125" s="18"/>
    </x:row>
    <x:row r="126" ht="15" hidden="0" customHeight="1">
      <x:c r="A126" s="22"/>
      <x:c r="B126" s="18"/>
      <x:c r="C126" s="18"/>
      <x:c r="D126" s="18" t="str">
        <x:f>IF($C126="","",XLOOKUP($C126,Products!$A$5:$A$34,Products!$B$5:$B$34,""))</x:f>
      </x:c>
      <x:c r="E126" s="18"/>
      <x:c r="F126" s="19" t="str">
        <x:f>IF($C126="","",XLOOKUP($C126,Products!$A$5:$A$34,Products!$E$5:$E$34,""))</x:f>
      </x:c>
      <x:c r="G126" s="19" t="str">
        <x:f>IF(OR($C126="",$E126=""),"",$E126*$F126)</x:f>
      </x:c>
      <x:c r="H126" s="18"/>
    </x:row>
    <x:row r="127" ht="15" hidden="0" customHeight="1">
      <x:c r="A127" s="22"/>
      <x:c r="B127" s="18"/>
      <x:c r="C127" s="18"/>
      <x:c r="D127" s="18" t="str">
        <x:f>IF($C127="","",XLOOKUP($C127,Products!$A$5:$A$34,Products!$B$5:$B$34,""))</x:f>
      </x:c>
      <x:c r="E127" s="18"/>
      <x:c r="F127" s="19" t="str">
        <x:f>IF($C127="","",XLOOKUP($C127,Products!$A$5:$A$34,Products!$E$5:$E$34,""))</x:f>
      </x:c>
      <x:c r="G127" s="19" t="str">
        <x:f>IF(OR($C127="",$E127=""),"",$E127*$F127)</x:f>
      </x:c>
      <x:c r="H127" s="18"/>
    </x:row>
    <x:row r="128" ht="15" hidden="0" customHeight="1">
      <x:c r="A128" s="22"/>
      <x:c r="B128" s="18"/>
      <x:c r="C128" s="18"/>
      <x:c r="D128" s="18" t="str">
        <x:f>IF($C128="","",XLOOKUP($C128,Products!$A$5:$A$34,Products!$B$5:$B$34,""))</x:f>
      </x:c>
      <x:c r="E128" s="18"/>
      <x:c r="F128" s="19" t="str">
        <x:f>IF($C128="","",XLOOKUP($C128,Products!$A$5:$A$34,Products!$E$5:$E$34,""))</x:f>
      </x:c>
      <x:c r="G128" s="19" t="str">
        <x:f>IF(OR($C128="",$E128=""),"",$E128*$F128)</x:f>
      </x:c>
      <x:c r="H128" s="18"/>
    </x:row>
    <x:row r="129" ht="15" hidden="0" customHeight="1">
      <x:c r="A129" s="22"/>
      <x:c r="B129" s="18"/>
      <x:c r="C129" s="18"/>
      <x:c r="D129" s="18" t="str">
        <x:f>IF($C129="","",XLOOKUP($C129,Products!$A$5:$A$34,Products!$B$5:$B$34,""))</x:f>
      </x:c>
      <x:c r="E129" s="18"/>
      <x:c r="F129" s="19" t="str">
        <x:f>IF($C129="","",XLOOKUP($C129,Products!$A$5:$A$34,Products!$E$5:$E$34,""))</x:f>
      </x:c>
      <x:c r="G129" s="19" t="str">
        <x:f>IF(OR($C129="",$E129=""),"",$E129*$F129)</x:f>
      </x:c>
      <x:c r="H129" s="18"/>
    </x:row>
    <x:row r="130" ht="15" hidden="0" customHeight="1">
      <x:c r="A130" s="22"/>
      <x:c r="B130" s="18"/>
      <x:c r="C130" s="18"/>
      <x:c r="D130" s="18" t="str">
        <x:f>IF($C130="","",XLOOKUP($C130,Products!$A$5:$A$34,Products!$B$5:$B$34,""))</x:f>
      </x:c>
      <x:c r="E130" s="18"/>
      <x:c r="F130" s="19" t="str">
        <x:f>IF($C130="","",XLOOKUP($C130,Products!$A$5:$A$34,Products!$E$5:$E$34,""))</x:f>
      </x:c>
      <x:c r="G130" s="19" t="str">
        <x:f>IF(OR($C130="",$E130=""),"",$E130*$F130)</x:f>
      </x:c>
      <x:c r="H130" s="18"/>
    </x:row>
    <x:row r="131" ht="15" hidden="0" customHeight="1">
      <x:c r="A131" s="22"/>
      <x:c r="B131" s="18"/>
      <x:c r="C131" s="18"/>
      <x:c r="D131" s="18" t="str">
        <x:f>IF($C131="","",XLOOKUP($C131,Products!$A$5:$A$34,Products!$B$5:$B$34,""))</x:f>
      </x:c>
      <x:c r="E131" s="18"/>
      <x:c r="F131" s="19" t="str">
        <x:f>IF($C131="","",XLOOKUP($C131,Products!$A$5:$A$34,Products!$E$5:$E$34,""))</x:f>
      </x:c>
      <x:c r="G131" s="19" t="str">
        <x:f>IF(OR($C131="",$E131=""),"",$E131*$F131)</x:f>
      </x:c>
      <x:c r="H131" s="18"/>
    </x:row>
    <x:row r="132" ht="15" hidden="0" customHeight="1">
      <x:c r="A132" s="22"/>
      <x:c r="B132" s="18"/>
      <x:c r="C132" s="18"/>
      <x:c r="D132" s="18" t="str">
        <x:f>IF($C132="","",XLOOKUP($C132,Products!$A$5:$A$34,Products!$B$5:$B$34,""))</x:f>
      </x:c>
      <x:c r="E132" s="18"/>
      <x:c r="F132" s="19" t="str">
        <x:f>IF($C132="","",XLOOKUP($C132,Products!$A$5:$A$34,Products!$E$5:$E$34,""))</x:f>
      </x:c>
      <x:c r="G132" s="19" t="str">
        <x:f>IF(OR($C132="",$E132=""),"",$E132*$F132)</x:f>
      </x:c>
      <x:c r="H132" s="18"/>
    </x:row>
    <x:row r="133" ht="15" hidden="0" customHeight="1">
      <x:c r="A133" s="22"/>
      <x:c r="B133" s="18"/>
      <x:c r="C133" s="18"/>
      <x:c r="D133" s="18" t="str">
        <x:f>IF($C133="","",XLOOKUP($C133,Products!$A$5:$A$34,Products!$B$5:$B$34,""))</x:f>
      </x:c>
      <x:c r="E133" s="18"/>
      <x:c r="F133" s="19" t="str">
        <x:f>IF($C133="","",XLOOKUP($C133,Products!$A$5:$A$34,Products!$E$5:$E$34,""))</x:f>
      </x:c>
      <x:c r="G133" s="19" t="str">
        <x:f>IF(OR($C133="",$E133=""),"",$E133*$F133)</x:f>
      </x:c>
      <x:c r="H133" s="18"/>
    </x:row>
    <x:row r="134" ht="15" hidden="0" customHeight="1">
      <x:c r="A134" s="22"/>
      <x:c r="B134" s="18"/>
      <x:c r="C134" s="18"/>
      <x:c r="D134" s="18" t="str">
        <x:f>IF($C134="","",XLOOKUP($C134,Products!$A$5:$A$34,Products!$B$5:$B$34,""))</x:f>
      </x:c>
      <x:c r="E134" s="18"/>
      <x:c r="F134" s="19" t="str">
        <x:f>IF($C134="","",XLOOKUP($C134,Products!$A$5:$A$34,Products!$E$5:$E$34,""))</x:f>
      </x:c>
      <x:c r="G134" s="19" t="str">
        <x:f>IF(OR($C134="",$E134=""),"",$E134*$F134)</x:f>
      </x:c>
      <x:c r="H134" s="18"/>
    </x:row>
    <x:row r="135" ht="15" hidden="0" customHeight="1">
      <x:c r="A135" s="22"/>
      <x:c r="B135" s="18"/>
      <x:c r="C135" s="18"/>
      <x:c r="D135" s="18" t="str">
        <x:f>IF($C135="","",XLOOKUP($C135,Products!$A$5:$A$34,Products!$B$5:$B$34,""))</x:f>
      </x:c>
      <x:c r="E135" s="18"/>
      <x:c r="F135" s="19" t="str">
        <x:f>IF($C135="","",XLOOKUP($C135,Products!$A$5:$A$34,Products!$E$5:$E$34,""))</x:f>
      </x:c>
      <x:c r="G135" s="19" t="str">
        <x:f>IF(OR($C135="",$E135=""),"",$E135*$F135)</x:f>
      </x:c>
      <x:c r="H135" s="18"/>
    </x:row>
    <x:row r="136" ht="15" hidden="0" customHeight="1">
      <x:c r="A136" s="22"/>
      <x:c r="B136" s="18"/>
      <x:c r="C136" s="18"/>
      <x:c r="D136" s="18" t="str">
        <x:f>IF($C136="","",XLOOKUP($C136,Products!$A$5:$A$34,Products!$B$5:$B$34,""))</x:f>
      </x:c>
      <x:c r="E136" s="18"/>
      <x:c r="F136" s="19" t="str">
        <x:f>IF($C136="","",XLOOKUP($C136,Products!$A$5:$A$34,Products!$E$5:$E$34,""))</x:f>
      </x:c>
      <x:c r="G136" s="19" t="str">
        <x:f>IF(OR($C136="",$E136=""),"",$E136*$F136)</x:f>
      </x:c>
      <x:c r="H136" s="18"/>
    </x:row>
    <x:row r="137" ht="15" hidden="0" customHeight="1">
      <x:c r="A137" s="22"/>
      <x:c r="B137" s="18"/>
      <x:c r="C137" s="18"/>
      <x:c r="D137" s="18" t="str">
        <x:f>IF($C137="","",XLOOKUP($C137,Products!$A$5:$A$34,Products!$B$5:$B$34,""))</x:f>
      </x:c>
      <x:c r="E137" s="18"/>
      <x:c r="F137" s="19" t="str">
        <x:f>IF($C137="","",XLOOKUP($C137,Products!$A$5:$A$34,Products!$E$5:$E$34,""))</x:f>
      </x:c>
      <x:c r="G137" s="19" t="str">
        <x:f>IF(OR($C137="",$E137=""),"",$E137*$F137)</x:f>
      </x:c>
      <x:c r="H137" s="18"/>
    </x:row>
    <x:row r="138" ht="15" hidden="0" customHeight="1">
      <x:c r="A138" s="22"/>
      <x:c r="B138" s="18"/>
      <x:c r="C138" s="18"/>
      <x:c r="D138" s="18" t="str">
        <x:f>IF($C138="","",XLOOKUP($C138,Products!$A$5:$A$34,Products!$B$5:$B$34,""))</x:f>
      </x:c>
      <x:c r="E138" s="18"/>
      <x:c r="F138" s="19" t="str">
        <x:f>IF($C138="","",XLOOKUP($C138,Products!$A$5:$A$34,Products!$E$5:$E$34,""))</x:f>
      </x:c>
      <x:c r="G138" s="19" t="str">
        <x:f>IF(OR($C138="",$E138=""),"",$E138*$F138)</x:f>
      </x:c>
      <x:c r="H138" s="18"/>
    </x:row>
    <x:row r="139" ht="15" hidden="0" customHeight="1">
      <x:c r="A139" s="22"/>
      <x:c r="B139" s="18"/>
      <x:c r="C139" s="18"/>
      <x:c r="D139" s="18" t="str">
        <x:f>IF($C139="","",XLOOKUP($C139,Products!$A$5:$A$34,Products!$B$5:$B$34,""))</x:f>
      </x:c>
      <x:c r="E139" s="18"/>
      <x:c r="F139" s="19" t="str">
        <x:f>IF($C139="","",XLOOKUP($C139,Products!$A$5:$A$34,Products!$E$5:$E$34,""))</x:f>
      </x:c>
      <x:c r="G139" s="19" t="str">
        <x:f>IF(OR($C139="",$E139=""),"",$E139*$F139)</x:f>
      </x:c>
      <x:c r="H139" s="18"/>
    </x:row>
    <x:row r="140" ht="15" hidden="0" customHeight="1">
      <x:c r="A140" s="22"/>
      <x:c r="B140" s="18"/>
      <x:c r="C140" s="18"/>
      <x:c r="D140" s="18" t="str">
        <x:f>IF($C140="","",XLOOKUP($C140,Products!$A$5:$A$34,Products!$B$5:$B$34,""))</x:f>
      </x:c>
      <x:c r="E140" s="18"/>
      <x:c r="F140" s="19" t="str">
        <x:f>IF($C140="","",XLOOKUP($C140,Products!$A$5:$A$34,Products!$E$5:$E$34,""))</x:f>
      </x:c>
      <x:c r="G140" s="19" t="str">
        <x:f>IF(OR($C140="",$E140=""),"",$E140*$F140)</x:f>
      </x:c>
      <x:c r="H140" s="18"/>
    </x:row>
    <x:row r="141" ht="15" hidden="0" customHeight="1">
      <x:c r="A141" s="22"/>
      <x:c r="B141" s="18"/>
      <x:c r="C141" s="18"/>
      <x:c r="D141" s="18" t="str">
        <x:f>IF($C141="","",XLOOKUP($C141,Products!$A$5:$A$34,Products!$B$5:$B$34,""))</x:f>
      </x:c>
      <x:c r="E141" s="18"/>
      <x:c r="F141" s="19" t="str">
        <x:f>IF($C141="","",XLOOKUP($C141,Products!$A$5:$A$34,Products!$E$5:$E$34,""))</x:f>
      </x:c>
      <x:c r="G141" s="19" t="str">
        <x:f>IF(OR($C141="",$E141=""),"",$E141*$F141)</x:f>
      </x:c>
      <x:c r="H141" s="18"/>
    </x:row>
    <x:row r="142" ht="15" hidden="0" customHeight="1">
      <x:c r="A142" s="22"/>
      <x:c r="B142" s="18"/>
      <x:c r="C142" s="18"/>
      <x:c r="D142" s="18" t="str">
        <x:f>IF($C142="","",XLOOKUP($C142,Products!$A$5:$A$34,Products!$B$5:$B$34,""))</x:f>
      </x:c>
      <x:c r="E142" s="18"/>
      <x:c r="F142" s="19" t="str">
        <x:f>IF($C142="","",XLOOKUP($C142,Products!$A$5:$A$34,Products!$E$5:$E$34,""))</x:f>
      </x:c>
      <x:c r="G142" s="19" t="str">
        <x:f>IF(OR($C142="",$E142=""),"",$E142*$F142)</x:f>
      </x:c>
      <x:c r="H142" s="18"/>
    </x:row>
    <x:row r="143" ht="15" hidden="0" customHeight="1">
      <x:c r="A143" s="22"/>
      <x:c r="B143" s="18"/>
      <x:c r="C143" s="18"/>
      <x:c r="D143" s="18" t="str">
        <x:f>IF($C143="","",XLOOKUP($C143,Products!$A$5:$A$34,Products!$B$5:$B$34,""))</x:f>
      </x:c>
      <x:c r="E143" s="18"/>
      <x:c r="F143" s="19" t="str">
        <x:f>IF($C143="","",XLOOKUP($C143,Products!$A$5:$A$34,Products!$E$5:$E$34,""))</x:f>
      </x:c>
      <x:c r="G143" s="19" t="str">
        <x:f>IF(OR($C143="",$E143=""),"",$E143*$F143)</x:f>
      </x:c>
      <x:c r="H143" s="18"/>
    </x:row>
    <x:row r="144" ht="15" hidden="0" customHeight="1">
      <x:c r="A144" s="22"/>
      <x:c r="B144" s="18"/>
      <x:c r="C144" s="18"/>
      <x:c r="D144" s="18" t="str">
        <x:f>IF($C144="","",XLOOKUP($C144,Products!$A$5:$A$34,Products!$B$5:$B$34,""))</x:f>
      </x:c>
      <x:c r="E144" s="18"/>
      <x:c r="F144" s="19" t="str">
        <x:f>IF($C144="","",XLOOKUP($C144,Products!$A$5:$A$34,Products!$E$5:$E$34,""))</x:f>
      </x:c>
      <x:c r="G144" s="19" t="str">
        <x:f>IF(OR($C144="",$E144=""),"",$E144*$F144)</x:f>
      </x:c>
      <x:c r="H144" s="18"/>
    </x:row>
    <x:row r="145" ht="15" hidden="0" customHeight="1">
      <x:c r="A145" s="22"/>
      <x:c r="B145" s="18"/>
      <x:c r="C145" s="18"/>
      <x:c r="D145" s="18" t="str">
        <x:f>IF($C145="","",XLOOKUP($C145,Products!$A$5:$A$34,Products!$B$5:$B$34,""))</x:f>
      </x:c>
      <x:c r="E145" s="18"/>
      <x:c r="F145" s="19" t="str">
        <x:f>IF($C145="","",XLOOKUP($C145,Products!$A$5:$A$34,Products!$E$5:$E$34,""))</x:f>
      </x:c>
      <x:c r="G145" s="19" t="str">
        <x:f>IF(OR($C145="",$E145=""),"",$E145*$F145)</x:f>
      </x:c>
      <x:c r="H145" s="18"/>
    </x:row>
    <x:row r="146" ht="15" hidden="0" customHeight="1">
      <x:c r="A146" s="22"/>
      <x:c r="B146" s="18"/>
      <x:c r="C146" s="18"/>
      <x:c r="D146" s="18" t="str">
        <x:f>IF($C146="","",XLOOKUP($C146,Products!$A$5:$A$34,Products!$B$5:$B$34,""))</x:f>
      </x:c>
      <x:c r="E146" s="18"/>
      <x:c r="F146" s="19" t="str">
        <x:f>IF($C146="","",XLOOKUP($C146,Products!$A$5:$A$34,Products!$E$5:$E$34,""))</x:f>
      </x:c>
      <x:c r="G146" s="19" t="str">
        <x:f>IF(OR($C146="",$E146=""),"",$E146*$F146)</x:f>
      </x:c>
      <x:c r="H146" s="18"/>
    </x:row>
    <x:row r="147" ht="15" hidden="0" customHeight="1">
      <x:c r="A147" s="22"/>
      <x:c r="B147" s="18"/>
      <x:c r="C147" s="18"/>
      <x:c r="D147" s="18" t="str">
        <x:f>IF($C147="","",XLOOKUP($C147,Products!$A$5:$A$34,Products!$B$5:$B$34,""))</x:f>
      </x:c>
      <x:c r="E147" s="18"/>
      <x:c r="F147" s="19" t="str">
        <x:f>IF($C147="","",XLOOKUP($C147,Products!$A$5:$A$34,Products!$E$5:$E$34,""))</x:f>
      </x:c>
      <x:c r="G147" s="19" t="str">
        <x:f>IF(OR($C147="",$E147=""),"",$E147*$F147)</x:f>
      </x:c>
      <x:c r="H147" s="18"/>
    </x:row>
    <x:row r="148" ht="15" hidden="0" customHeight="1">
      <x:c r="A148" s="22"/>
      <x:c r="B148" s="18"/>
      <x:c r="C148" s="18"/>
      <x:c r="D148" s="18" t="str">
        <x:f>IF($C148="","",XLOOKUP($C148,Products!$A$5:$A$34,Products!$B$5:$B$34,""))</x:f>
      </x:c>
      <x:c r="E148" s="18"/>
      <x:c r="F148" s="19" t="str">
        <x:f>IF($C148="","",XLOOKUP($C148,Products!$A$5:$A$34,Products!$E$5:$E$34,""))</x:f>
      </x:c>
      <x:c r="G148" s="19" t="str">
        <x:f>IF(OR($C148="",$E148=""),"",$E148*$F148)</x:f>
      </x:c>
      <x:c r="H148" s="18"/>
    </x:row>
    <x:row r="149" ht="15" hidden="0" customHeight="1">
      <x:c r="A149" s="22"/>
      <x:c r="B149" s="18"/>
      <x:c r="C149" s="18"/>
      <x:c r="D149" s="18" t="str">
        <x:f>IF($C149="","",XLOOKUP($C149,Products!$A$5:$A$34,Products!$B$5:$B$34,""))</x:f>
      </x:c>
      <x:c r="E149" s="18"/>
      <x:c r="F149" s="19" t="str">
        <x:f>IF($C149="","",XLOOKUP($C149,Products!$A$5:$A$34,Products!$E$5:$E$34,""))</x:f>
      </x:c>
      <x:c r="G149" s="19" t="str">
        <x:f>IF(OR($C149="",$E149=""),"",$E149*$F149)</x:f>
      </x:c>
      <x:c r="H149" s="18"/>
    </x:row>
    <x:row r="150" ht="15" hidden="0" customHeight="1">
      <x:c r="A150" s="22"/>
      <x:c r="B150" s="18"/>
      <x:c r="C150" s="18"/>
      <x:c r="D150" s="18" t="str">
        <x:f>IF($C150="","",XLOOKUP($C150,Products!$A$5:$A$34,Products!$B$5:$B$34,""))</x:f>
      </x:c>
      <x:c r="E150" s="18"/>
      <x:c r="F150" s="19" t="str">
        <x:f>IF($C150="","",XLOOKUP($C150,Products!$A$5:$A$34,Products!$E$5:$E$34,""))</x:f>
      </x:c>
      <x:c r="G150" s="19" t="str">
        <x:f>IF(OR($C150="",$E150=""),"",$E150*$F150)</x:f>
      </x:c>
      <x:c r="H150" s="18"/>
    </x:row>
    <x:row r="151" ht="15" hidden="0" customHeight="1">
      <x:c r="A151" s="22"/>
      <x:c r="B151" s="18"/>
      <x:c r="C151" s="18"/>
      <x:c r="D151" s="18" t="str">
        <x:f>IF($C151="","",XLOOKUP($C151,Products!$A$5:$A$34,Products!$B$5:$B$34,""))</x:f>
      </x:c>
      <x:c r="E151" s="18"/>
      <x:c r="F151" s="19" t="str">
        <x:f>IF($C151="","",XLOOKUP($C151,Products!$A$5:$A$34,Products!$E$5:$E$34,""))</x:f>
      </x:c>
      <x:c r="G151" s="19" t="str">
        <x:f>IF(OR($C151="",$E151=""),"",$E151*$F151)</x:f>
      </x:c>
      <x:c r="H151" s="18"/>
    </x:row>
    <x:row r="152" ht="15" hidden="0" customHeight="1">
      <x:c r="A152" s="22"/>
      <x:c r="B152" s="18"/>
      <x:c r="C152" s="18"/>
      <x:c r="D152" s="18" t="str">
        <x:f>IF($C152="","",XLOOKUP($C152,Products!$A$5:$A$34,Products!$B$5:$B$34,""))</x:f>
      </x:c>
      <x:c r="E152" s="18"/>
      <x:c r="F152" s="19" t="str">
        <x:f>IF($C152="","",XLOOKUP($C152,Products!$A$5:$A$34,Products!$E$5:$E$34,""))</x:f>
      </x:c>
      <x:c r="G152" s="19" t="str">
        <x:f>IF(OR($C152="",$E152=""),"",$E152*$F152)</x:f>
      </x:c>
      <x:c r="H152" s="18"/>
    </x:row>
    <x:row r="153" ht="15" hidden="0" customHeight="1">
      <x:c r="A153" s="22"/>
      <x:c r="B153" s="18"/>
      <x:c r="C153" s="18"/>
      <x:c r="D153" s="18" t="str">
        <x:f>IF($C153="","",XLOOKUP($C153,Products!$A$5:$A$34,Products!$B$5:$B$34,""))</x:f>
      </x:c>
      <x:c r="E153" s="18"/>
      <x:c r="F153" s="19" t="str">
        <x:f>IF($C153="","",XLOOKUP($C153,Products!$A$5:$A$34,Products!$E$5:$E$34,""))</x:f>
      </x:c>
      <x:c r="G153" s="19" t="str">
        <x:f>IF(OR($C153="",$E153=""),"",$E153*$F153)</x:f>
      </x:c>
      <x:c r="H153" s="18"/>
    </x:row>
    <x:row r="154" ht="15" hidden="0" customHeight="1">
      <x:c r="A154" s="22"/>
      <x:c r="B154" s="18"/>
      <x:c r="C154" s="18"/>
      <x:c r="D154" s="18" t="str">
        <x:f>IF($C154="","",XLOOKUP($C154,Products!$A$5:$A$34,Products!$B$5:$B$34,""))</x:f>
      </x:c>
      <x:c r="E154" s="18"/>
      <x:c r="F154" s="19" t="str">
        <x:f>IF($C154="","",XLOOKUP($C154,Products!$A$5:$A$34,Products!$E$5:$E$34,""))</x:f>
      </x:c>
      <x:c r="G154" s="19" t="str">
        <x:f>IF(OR($C154="",$E154=""),"",$E154*$F154)</x:f>
      </x:c>
      <x:c r="H154" s="18"/>
    </x:row>
    <x:row r="155" ht="15" hidden="0" customHeight="1">
      <x:c r="A155" s="22"/>
      <x:c r="B155" s="18"/>
      <x:c r="C155" s="18"/>
      <x:c r="D155" s="18" t="str">
        <x:f>IF($C155="","",XLOOKUP($C155,Products!$A$5:$A$34,Products!$B$5:$B$34,""))</x:f>
      </x:c>
      <x:c r="E155" s="18"/>
      <x:c r="F155" s="19" t="str">
        <x:f>IF($C155="","",XLOOKUP($C155,Products!$A$5:$A$34,Products!$E$5:$E$34,""))</x:f>
      </x:c>
      <x:c r="G155" s="19" t="str">
        <x:f>IF(OR($C155="",$E155=""),"",$E155*$F155)</x:f>
      </x:c>
      <x:c r="H155" s="18"/>
    </x:row>
    <x:row r="156" ht="15" hidden="0" customHeight="1">
      <x:c r="A156" s="22"/>
      <x:c r="B156" s="18"/>
      <x:c r="C156" s="18"/>
      <x:c r="D156" s="18" t="str">
        <x:f>IF($C156="","",XLOOKUP($C156,Products!$A$5:$A$34,Products!$B$5:$B$34,""))</x:f>
      </x:c>
      <x:c r="E156" s="18"/>
      <x:c r="F156" s="19" t="str">
        <x:f>IF($C156="","",XLOOKUP($C156,Products!$A$5:$A$34,Products!$E$5:$E$34,""))</x:f>
      </x:c>
      <x:c r="G156" s="19" t="str">
        <x:f>IF(OR($C156="",$E156=""),"",$E156*$F156)</x:f>
      </x:c>
      <x:c r="H156" s="18"/>
    </x:row>
    <x:row r="157" ht="15" hidden="0" customHeight="1">
      <x:c r="A157" s="22"/>
      <x:c r="B157" s="18"/>
      <x:c r="C157" s="18"/>
      <x:c r="D157" s="18" t="str">
        <x:f>IF($C157="","",XLOOKUP($C157,Products!$A$5:$A$34,Products!$B$5:$B$34,""))</x:f>
      </x:c>
      <x:c r="E157" s="18"/>
      <x:c r="F157" s="19" t="str">
        <x:f>IF($C157="","",XLOOKUP($C157,Products!$A$5:$A$34,Products!$E$5:$E$34,""))</x:f>
      </x:c>
      <x:c r="G157" s="19" t="str">
        <x:f>IF(OR($C157="",$E157=""),"",$E157*$F157)</x:f>
      </x:c>
      <x:c r="H157" s="18"/>
    </x:row>
    <x:row r="158" ht="15" hidden="0" customHeight="1">
      <x:c r="A158" s="22"/>
      <x:c r="B158" s="18"/>
      <x:c r="C158" s="18"/>
      <x:c r="D158" s="18" t="str">
        <x:f>IF($C158="","",XLOOKUP($C158,Products!$A$5:$A$34,Products!$B$5:$B$34,""))</x:f>
      </x:c>
      <x:c r="E158" s="18"/>
      <x:c r="F158" s="19" t="str">
        <x:f>IF($C158="","",XLOOKUP($C158,Products!$A$5:$A$34,Products!$E$5:$E$34,""))</x:f>
      </x:c>
      <x:c r="G158" s="19" t="str">
        <x:f>IF(OR($C158="",$E158=""),"",$E158*$F158)</x:f>
      </x:c>
      <x:c r="H158" s="18"/>
    </x:row>
    <x:row r="159" ht="15" hidden="0" customHeight="1">
      <x:c r="A159" s="22"/>
      <x:c r="B159" s="18"/>
      <x:c r="C159" s="18"/>
      <x:c r="D159" s="18" t="str">
        <x:f>IF($C159="","",XLOOKUP($C159,Products!$A$5:$A$34,Products!$B$5:$B$34,""))</x:f>
      </x:c>
      <x:c r="E159" s="18"/>
      <x:c r="F159" s="19" t="str">
        <x:f>IF($C159="","",XLOOKUP($C159,Products!$A$5:$A$34,Products!$E$5:$E$34,""))</x:f>
      </x:c>
      <x:c r="G159" s="19" t="str">
        <x:f>IF(OR($C159="",$E159=""),"",$E159*$F159)</x:f>
      </x:c>
      <x:c r="H159" s="18"/>
    </x:row>
    <x:row r="160" ht="15" hidden="0" customHeight="1">
      <x:c r="A160" s="22"/>
      <x:c r="B160" s="18"/>
      <x:c r="C160" s="18"/>
      <x:c r="D160" s="18" t="str">
        <x:f>IF($C160="","",XLOOKUP($C160,Products!$A$5:$A$34,Products!$B$5:$B$34,""))</x:f>
      </x:c>
      <x:c r="E160" s="18"/>
      <x:c r="F160" s="19" t="str">
        <x:f>IF($C160="","",XLOOKUP($C160,Products!$A$5:$A$34,Products!$E$5:$E$34,""))</x:f>
      </x:c>
      <x:c r="G160" s="19" t="str">
        <x:f>IF(OR($C160="",$E160=""),"",$E160*$F160)</x:f>
      </x:c>
      <x:c r="H160" s="18"/>
    </x:row>
    <x:row r="161" ht="15" hidden="0" customHeight="1">
      <x:c r="A161" s="22"/>
      <x:c r="B161" s="18"/>
      <x:c r="C161" s="18"/>
      <x:c r="D161" s="18" t="str">
        <x:f>IF($C161="","",XLOOKUP($C161,Products!$A$5:$A$34,Products!$B$5:$B$34,""))</x:f>
      </x:c>
      <x:c r="E161" s="18"/>
      <x:c r="F161" s="19" t="str">
        <x:f>IF($C161="","",XLOOKUP($C161,Products!$A$5:$A$34,Products!$E$5:$E$34,""))</x:f>
      </x:c>
      <x:c r="G161" s="19" t="str">
        <x:f>IF(OR($C161="",$E161=""),"",$E161*$F161)</x:f>
      </x:c>
      <x:c r="H161" s="18"/>
    </x:row>
    <x:row r="162" ht="15" hidden="0" customHeight="1">
      <x:c r="A162" s="22"/>
      <x:c r="B162" s="18"/>
      <x:c r="C162" s="18"/>
      <x:c r="D162" s="18" t="str">
        <x:f>IF($C162="","",XLOOKUP($C162,Products!$A$5:$A$34,Products!$B$5:$B$34,""))</x:f>
      </x:c>
      <x:c r="E162" s="18"/>
      <x:c r="F162" s="19" t="str">
        <x:f>IF($C162="","",XLOOKUP($C162,Products!$A$5:$A$34,Products!$E$5:$E$34,""))</x:f>
      </x:c>
      <x:c r="G162" s="19" t="str">
        <x:f>IF(OR($C162="",$E162=""),"",$E162*$F162)</x:f>
      </x:c>
      <x:c r="H162" s="18"/>
    </x:row>
    <x:row r="163" ht="15" hidden="0" customHeight="1">
      <x:c r="A163" s="22"/>
      <x:c r="B163" s="18"/>
      <x:c r="C163" s="18"/>
      <x:c r="D163" s="18" t="str">
        <x:f>IF($C163="","",XLOOKUP($C163,Products!$A$5:$A$34,Products!$B$5:$B$34,""))</x:f>
      </x:c>
      <x:c r="E163" s="18"/>
      <x:c r="F163" s="19" t="str">
        <x:f>IF($C163="","",XLOOKUP($C163,Products!$A$5:$A$34,Products!$E$5:$E$34,""))</x:f>
      </x:c>
      <x:c r="G163" s="19" t="str">
        <x:f>IF(OR($C163="",$E163=""),"",$E163*$F163)</x:f>
      </x:c>
      <x:c r="H163" s="18"/>
    </x:row>
    <x:row r="164" ht="15" hidden="0" customHeight="1">
      <x:c r="A164" s="22"/>
      <x:c r="B164" s="18"/>
      <x:c r="C164" s="18"/>
      <x:c r="D164" s="18" t="str">
        <x:f>IF($C164="","",XLOOKUP($C164,Products!$A$5:$A$34,Products!$B$5:$B$34,""))</x:f>
      </x:c>
      <x:c r="E164" s="18"/>
      <x:c r="F164" s="19" t="str">
        <x:f>IF($C164="","",XLOOKUP($C164,Products!$A$5:$A$34,Products!$E$5:$E$34,""))</x:f>
      </x:c>
      <x:c r="G164" s="19" t="str">
        <x:f>IF(OR($C164="",$E164=""),"",$E164*$F164)</x:f>
      </x:c>
      <x:c r="H164" s="18"/>
    </x:row>
    <x:row r="165" ht="15" hidden="0" customHeight="1">
      <x:c r="A165" s="22"/>
      <x:c r="B165" s="18"/>
      <x:c r="C165" s="18"/>
      <x:c r="D165" s="18" t="str">
        <x:f>IF($C165="","",XLOOKUP($C165,Products!$A$5:$A$34,Products!$B$5:$B$34,""))</x:f>
      </x:c>
      <x:c r="E165" s="18"/>
      <x:c r="F165" s="19" t="str">
        <x:f>IF($C165="","",XLOOKUP($C165,Products!$A$5:$A$34,Products!$E$5:$E$34,""))</x:f>
      </x:c>
      <x:c r="G165" s="19" t="str">
        <x:f>IF(OR($C165="",$E165=""),"",$E165*$F165)</x:f>
      </x:c>
      <x:c r="H165" s="18"/>
    </x:row>
    <x:row r="166" ht="15" hidden="0" customHeight="1">
      <x:c r="A166" s="22"/>
      <x:c r="B166" s="18"/>
      <x:c r="C166" s="18"/>
      <x:c r="D166" s="18" t="str">
        <x:f>IF($C166="","",XLOOKUP($C166,Products!$A$5:$A$34,Products!$B$5:$B$34,""))</x:f>
      </x:c>
      <x:c r="E166" s="18"/>
      <x:c r="F166" s="19" t="str">
        <x:f>IF($C166="","",XLOOKUP($C166,Products!$A$5:$A$34,Products!$E$5:$E$34,""))</x:f>
      </x:c>
      <x:c r="G166" s="19" t="str">
        <x:f>IF(OR($C166="",$E166=""),"",$E166*$F166)</x:f>
      </x:c>
      <x:c r="H166" s="18"/>
    </x:row>
    <x:row r="167" ht="15" hidden="0" customHeight="1">
      <x:c r="A167" s="22"/>
      <x:c r="B167" s="18"/>
      <x:c r="C167" s="18"/>
      <x:c r="D167" s="18" t="str">
        <x:f>IF($C167="","",XLOOKUP($C167,Products!$A$5:$A$34,Products!$B$5:$B$34,""))</x:f>
      </x:c>
      <x:c r="E167" s="18"/>
      <x:c r="F167" s="19" t="str">
        <x:f>IF($C167="","",XLOOKUP($C167,Products!$A$5:$A$34,Products!$E$5:$E$34,""))</x:f>
      </x:c>
      <x:c r="G167" s="19" t="str">
        <x:f>IF(OR($C167="",$E167=""),"",$E167*$F167)</x:f>
      </x:c>
      <x:c r="H167" s="18"/>
    </x:row>
    <x:row r="168" ht="15" hidden="0" customHeight="1">
      <x:c r="A168" s="22"/>
      <x:c r="B168" s="18"/>
      <x:c r="C168" s="18"/>
      <x:c r="D168" s="18" t="str">
        <x:f>IF($C168="","",XLOOKUP($C168,Products!$A$5:$A$34,Products!$B$5:$B$34,""))</x:f>
      </x:c>
      <x:c r="E168" s="18"/>
      <x:c r="F168" s="19" t="str">
        <x:f>IF($C168="","",XLOOKUP($C168,Products!$A$5:$A$34,Products!$E$5:$E$34,""))</x:f>
      </x:c>
      <x:c r="G168" s="19" t="str">
        <x:f>IF(OR($C168="",$E168=""),"",$E168*$F168)</x:f>
      </x:c>
      <x:c r="H168" s="18"/>
    </x:row>
    <x:row r="169" ht="15" hidden="0" customHeight="1">
      <x:c r="A169" s="22"/>
      <x:c r="B169" s="18"/>
      <x:c r="C169" s="18"/>
      <x:c r="D169" s="18" t="str">
        <x:f>IF($C169="","",XLOOKUP($C169,Products!$A$5:$A$34,Products!$B$5:$B$34,""))</x:f>
      </x:c>
      <x:c r="E169" s="18"/>
      <x:c r="F169" s="19" t="str">
        <x:f>IF($C169="","",XLOOKUP($C169,Products!$A$5:$A$34,Products!$E$5:$E$34,""))</x:f>
      </x:c>
      <x:c r="G169" s="19" t="str">
        <x:f>IF(OR($C169="",$E169=""),"",$E169*$F169)</x:f>
      </x:c>
      <x:c r="H169" s="18"/>
    </x:row>
    <x:row r="170" ht="15" hidden="0" customHeight="1">
      <x:c r="A170" s="22"/>
      <x:c r="B170" s="18"/>
      <x:c r="C170" s="18"/>
      <x:c r="D170" s="18" t="str">
        <x:f>IF($C170="","",XLOOKUP($C170,Products!$A$5:$A$34,Products!$B$5:$B$34,""))</x:f>
      </x:c>
      <x:c r="E170" s="18"/>
      <x:c r="F170" s="19" t="str">
        <x:f>IF($C170="","",XLOOKUP($C170,Products!$A$5:$A$34,Products!$E$5:$E$34,""))</x:f>
      </x:c>
      <x:c r="G170" s="19" t="str">
        <x:f>IF(OR($C170="",$E170=""),"",$E170*$F170)</x:f>
      </x:c>
      <x:c r="H170" s="18"/>
    </x:row>
    <x:row r="171" ht="15" hidden="0" customHeight="1">
      <x:c r="A171" s="22"/>
      <x:c r="B171" s="18"/>
      <x:c r="C171" s="18"/>
      <x:c r="D171" s="18" t="str">
        <x:f>IF($C171="","",XLOOKUP($C171,Products!$A$5:$A$34,Products!$B$5:$B$34,""))</x:f>
      </x:c>
      <x:c r="E171" s="18"/>
      <x:c r="F171" s="19" t="str">
        <x:f>IF($C171="","",XLOOKUP($C171,Products!$A$5:$A$34,Products!$E$5:$E$34,""))</x:f>
      </x:c>
      <x:c r="G171" s="19" t="str">
        <x:f>IF(OR($C171="",$E171=""),"",$E171*$F171)</x:f>
      </x:c>
      <x:c r="H171" s="18"/>
    </x:row>
    <x:row r="172" ht="15" hidden="0" customHeight="1">
      <x:c r="A172" s="22"/>
      <x:c r="B172" s="18"/>
      <x:c r="C172" s="18"/>
      <x:c r="D172" s="18" t="str">
        <x:f>IF($C172="","",XLOOKUP($C172,Products!$A$5:$A$34,Products!$B$5:$B$34,""))</x:f>
      </x:c>
      <x:c r="E172" s="18"/>
      <x:c r="F172" s="19" t="str">
        <x:f>IF($C172="","",XLOOKUP($C172,Products!$A$5:$A$34,Products!$E$5:$E$34,""))</x:f>
      </x:c>
      <x:c r="G172" s="19" t="str">
        <x:f>IF(OR($C172="",$E172=""),"",$E172*$F172)</x:f>
      </x:c>
      <x:c r="H172" s="18"/>
    </x:row>
    <x:row r="173" ht="15" hidden="0" customHeight="1">
      <x:c r="A173" s="22"/>
      <x:c r="B173" s="18"/>
      <x:c r="C173" s="18"/>
      <x:c r="D173" s="18" t="str">
        <x:f>IF($C173="","",XLOOKUP($C173,Products!$A$5:$A$34,Products!$B$5:$B$34,""))</x:f>
      </x:c>
      <x:c r="E173" s="18"/>
      <x:c r="F173" s="19" t="str">
        <x:f>IF($C173="","",XLOOKUP($C173,Products!$A$5:$A$34,Products!$E$5:$E$34,""))</x:f>
      </x:c>
      <x:c r="G173" s="19" t="str">
        <x:f>IF(OR($C173="",$E173=""),"",$E173*$F173)</x:f>
      </x:c>
      <x:c r="H173" s="18"/>
    </x:row>
    <x:row r="174" ht="15" hidden="0" customHeight="1">
      <x:c r="A174" s="22"/>
      <x:c r="B174" s="18"/>
      <x:c r="C174" s="18"/>
      <x:c r="D174" s="18" t="str">
        <x:f>IF($C174="","",XLOOKUP($C174,Products!$A$5:$A$34,Products!$B$5:$B$34,""))</x:f>
      </x:c>
      <x:c r="E174" s="18"/>
      <x:c r="F174" s="19" t="str">
        <x:f>IF($C174="","",XLOOKUP($C174,Products!$A$5:$A$34,Products!$E$5:$E$34,""))</x:f>
      </x:c>
      <x:c r="G174" s="19" t="str">
        <x:f>IF(OR($C174="",$E174=""),"",$E174*$F174)</x:f>
      </x:c>
      <x:c r="H174" s="18"/>
    </x:row>
    <x:row r="175" ht="15" hidden="0" customHeight="1">
      <x:c r="A175" s="22"/>
      <x:c r="B175" s="18"/>
      <x:c r="C175" s="18"/>
      <x:c r="D175" s="18" t="str">
        <x:f>IF($C175="","",XLOOKUP($C175,Products!$A$5:$A$34,Products!$B$5:$B$34,""))</x:f>
      </x:c>
      <x:c r="E175" s="18"/>
      <x:c r="F175" s="19" t="str">
        <x:f>IF($C175="","",XLOOKUP($C175,Products!$A$5:$A$34,Products!$E$5:$E$34,""))</x:f>
      </x:c>
      <x:c r="G175" s="19" t="str">
        <x:f>IF(OR($C175="",$E175=""),"",$E175*$F175)</x:f>
      </x:c>
      <x:c r="H175" s="18"/>
    </x:row>
    <x:row r="176" ht="15" hidden="0" customHeight="1">
      <x:c r="A176" s="22"/>
      <x:c r="B176" s="18"/>
      <x:c r="C176" s="18"/>
      <x:c r="D176" s="18" t="str">
        <x:f>IF($C176="","",XLOOKUP($C176,Products!$A$5:$A$34,Products!$B$5:$B$34,""))</x:f>
      </x:c>
      <x:c r="E176" s="18"/>
      <x:c r="F176" s="19" t="str">
        <x:f>IF($C176="","",XLOOKUP($C176,Products!$A$5:$A$34,Products!$E$5:$E$34,""))</x:f>
      </x:c>
      <x:c r="G176" s="19" t="str">
        <x:f>IF(OR($C176="",$E176=""),"",$E176*$F176)</x:f>
      </x:c>
      <x:c r="H176" s="18"/>
    </x:row>
    <x:row r="177" ht="15" hidden="0" customHeight="1">
      <x:c r="A177" s="22"/>
      <x:c r="B177" s="18"/>
      <x:c r="C177" s="18"/>
      <x:c r="D177" s="18" t="str">
        <x:f>IF($C177="","",XLOOKUP($C177,Products!$A$5:$A$34,Products!$B$5:$B$34,""))</x:f>
      </x:c>
      <x:c r="E177" s="18"/>
      <x:c r="F177" s="19" t="str">
        <x:f>IF($C177="","",XLOOKUP($C177,Products!$A$5:$A$34,Products!$E$5:$E$34,""))</x:f>
      </x:c>
      <x:c r="G177" s="19" t="str">
        <x:f>IF(OR($C177="",$E177=""),"",$E177*$F177)</x:f>
      </x:c>
      <x:c r="H177" s="18"/>
    </x:row>
    <x:row r="178" ht="15" hidden="0" customHeight="1">
      <x:c r="A178" s="22"/>
      <x:c r="B178" s="18"/>
      <x:c r="C178" s="18"/>
      <x:c r="D178" s="18" t="str">
        <x:f>IF($C178="","",XLOOKUP($C178,Products!$A$5:$A$34,Products!$B$5:$B$34,""))</x:f>
      </x:c>
      <x:c r="E178" s="18"/>
      <x:c r="F178" s="19" t="str">
        <x:f>IF($C178="","",XLOOKUP($C178,Products!$A$5:$A$34,Products!$E$5:$E$34,""))</x:f>
      </x:c>
      <x:c r="G178" s="19" t="str">
        <x:f>IF(OR($C178="",$E178=""),"",$E178*$F178)</x:f>
      </x:c>
      <x:c r="H178" s="18"/>
    </x:row>
    <x:row r="179" ht="15" hidden="0" customHeight="1">
      <x:c r="A179" s="22"/>
      <x:c r="B179" s="18"/>
      <x:c r="C179" s="18"/>
      <x:c r="D179" s="18" t="str">
        <x:f>IF($C179="","",XLOOKUP($C179,Products!$A$5:$A$34,Products!$B$5:$B$34,""))</x:f>
      </x:c>
      <x:c r="E179" s="18"/>
      <x:c r="F179" s="19" t="str">
        <x:f>IF($C179="","",XLOOKUP($C179,Products!$A$5:$A$34,Products!$E$5:$E$34,""))</x:f>
      </x:c>
      <x:c r="G179" s="19" t="str">
        <x:f>IF(OR($C179="",$E179=""),"",$E179*$F179)</x:f>
      </x:c>
      <x:c r="H179" s="18"/>
    </x:row>
    <x:row r="180" ht="15" hidden="0" customHeight="1">
      <x:c r="A180" s="22"/>
      <x:c r="B180" s="18"/>
      <x:c r="C180" s="18"/>
      <x:c r="D180" s="18" t="str">
        <x:f>IF($C180="","",XLOOKUP($C180,Products!$A$5:$A$34,Products!$B$5:$B$34,""))</x:f>
      </x:c>
      <x:c r="E180" s="18"/>
      <x:c r="F180" s="19" t="str">
        <x:f>IF($C180="","",XLOOKUP($C180,Products!$A$5:$A$34,Products!$E$5:$E$34,""))</x:f>
      </x:c>
      <x:c r="G180" s="19" t="str">
        <x:f>IF(OR($C180="",$E180=""),"",$E180*$F180)</x:f>
      </x:c>
      <x:c r="H180" s="18"/>
    </x:row>
    <x:row r="181" ht="15" hidden="0" customHeight="1">
      <x:c r="A181" s="22"/>
      <x:c r="B181" s="18"/>
      <x:c r="C181" s="18"/>
      <x:c r="D181" s="18" t="str">
        <x:f>IF($C181="","",XLOOKUP($C181,Products!$A$5:$A$34,Products!$B$5:$B$34,""))</x:f>
      </x:c>
      <x:c r="E181" s="18"/>
      <x:c r="F181" s="19" t="str">
        <x:f>IF($C181="","",XLOOKUP($C181,Products!$A$5:$A$34,Products!$E$5:$E$34,""))</x:f>
      </x:c>
      <x:c r="G181" s="19" t="str">
        <x:f>IF(OR($C181="",$E181=""),"",$E181*$F181)</x:f>
      </x:c>
      <x:c r="H181" s="18"/>
    </x:row>
    <x:row r="182" ht="15" hidden="0" customHeight="1">
      <x:c r="A182" s="22"/>
      <x:c r="B182" s="18"/>
      <x:c r="C182" s="18"/>
      <x:c r="D182" s="18" t="str">
        <x:f>IF($C182="","",XLOOKUP($C182,Products!$A$5:$A$34,Products!$B$5:$B$34,""))</x:f>
      </x:c>
      <x:c r="E182" s="18"/>
      <x:c r="F182" s="19" t="str">
        <x:f>IF($C182="","",XLOOKUP($C182,Products!$A$5:$A$34,Products!$E$5:$E$34,""))</x:f>
      </x:c>
      <x:c r="G182" s="19" t="str">
        <x:f>IF(OR($C182="",$E182=""),"",$E182*$F182)</x:f>
      </x:c>
      <x:c r="H182" s="18"/>
    </x:row>
    <x:row r="183" ht="15" hidden="0" customHeight="1">
      <x:c r="A183" s="22"/>
      <x:c r="B183" s="18"/>
      <x:c r="C183" s="18"/>
      <x:c r="D183" s="18" t="str">
        <x:f>IF($C183="","",XLOOKUP($C183,Products!$A$5:$A$34,Products!$B$5:$B$34,""))</x:f>
      </x:c>
      <x:c r="E183" s="18"/>
      <x:c r="F183" s="19" t="str">
        <x:f>IF($C183="","",XLOOKUP($C183,Products!$A$5:$A$34,Products!$E$5:$E$34,""))</x:f>
      </x:c>
      <x:c r="G183" s="19" t="str">
        <x:f>IF(OR($C183="",$E183=""),"",$E183*$F183)</x:f>
      </x:c>
      <x:c r="H183" s="18"/>
    </x:row>
    <x:row r="184" ht="15" hidden="0" customHeight="1">
      <x:c r="A184" s="22"/>
      <x:c r="B184" s="18"/>
      <x:c r="C184" s="18"/>
      <x:c r="D184" s="18" t="str">
        <x:f>IF($C184="","",XLOOKUP($C184,Products!$A$5:$A$34,Products!$B$5:$B$34,""))</x:f>
      </x:c>
      <x:c r="E184" s="18"/>
      <x:c r="F184" s="19" t="str">
        <x:f>IF($C184="","",XLOOKUP($C184,Products!$A$5:$A$34,Products!$E$5:$E$34,""))</x:f>
      </x:c>
      <x:c r="G184" s="19" t="str">
        <x:f>IF(OR($C184="",$E184=""),"",$E184*$F184)</x:f>
      </x:c>
      <x:c r="H184" s="18"/>
    </x:row>
    <x:row r="185" ht="15" hidden="0" customHeight="1">
      <x:c r="A185" s="22"/>
      <x:c r="B185" s="18"/>
      <x:c r="C185" s="18"/>
      <x:c r="D185" s="18" t="str">
        <x:f>IF($C185="","",XLOOKUP($C185,Products!$A$5:$A$34,Products!$B$5:$B$34,""))</x:f>
      </x:c>
      <x:c r="E185" s="18"/>
      <x:c r="F185" s="19" t="str">
        <x:f>IF($C185="","",XLOOKUP($C185,Products!$A$5:$A$34,Products!$E$5:$E$34,""))</x:f>
      </x:c>
      <x:c r="G185" s="19" t="str">
        <x:f>IF(OR($C185="",$E185=""),"",$E185*$F185)</x:f>
      </x:c>
      <x:c r="H185" s="18"/>
    </x:row>
    <x:row r="186" ht="15" hidden="0" customHeight="1">
      <x:c r="A186" s="22"/>
      <x:c r="B186" s="18"/>
      <x:c r="C186" s="18"/>
      <x:c r="D186" s="18" t="str">
        <x:f>IF($C186="","",XLOOKUP($C186,Products!$A$5:$A$34,Products!$B$5:$B$34,""))</x:f>
      </x:c>
      <x:c r="E186" s="18"/>
      <x:c r="F186" s="19" t="str">
        <x:f>IF($C186="","",XLOOKUP($C186,Products!$A$5:$A$34,Products!$E$5:$E$34,""))</x:f>
      </x:c>
      <x:c r="G186" s="19" t="str">
        <x:f>IF(OR($C186="",$E186=""),"",$E186*$F186)</x:f>
      </x:c>
      <x:c r="H186" s="18"/>
    </x:row>
    <x:row r="187" ht="15" hidden="0" customHeight="1">
      <x:c r="A187" s="22"/>
      <x:c r="B187" s="18"/>
      <x:c r="C187" s="18"/>
      <x:c r="D187" s="18" t="str">
        <x:f>IF($C187="","",XLOOKUP($C187,Products!$A$5:$A$34,Products!$B$5:$B$34,""))</x:f>
      </x:c>
      <x:c r="E187" s="18"/>
      <x:c r="F187" s="19" t="str">
        <x:f>IF($C187="","",XLOOKUP($C187,Products!$A$5:$A$34,Products!$E$5:$E$34,""))</x:f>
      </x:c>
      <x:c r="G187" s="19" t="str">
        <x:f>IF(OR($C187="",$E187=""),"",$E187*$F187)</x:f>
      </x:c>
      <x:c r="H187" s="18"/>
    </x:row>
    <x:row r="188" ht="15" hidden="0" customHeight="1">
      <x:c r="A188" s="22"/>
      <x:c r="B188" s="18"/>
      <x:c r="C188" s="18"/>
      <x:c r="D188" s="18" t="str">
        <x:f>IF($C188="","",XLOOKUP($C188,Products!$A$5:$A$34,Products!$B$5:$B$34,""))</x:f>
      </x:c>
      <x:c r="E188" s="18"/>
      <x:c r="F188" s="19" t="str">
        <x:f>IF($C188="","",XLOOKUP($C188,Products!$A$5:$A$34,Products!$E$5:$E$34,""))</x:f>
      </x:c>
      <x:c r="G188" s="19" t="str">
        <x:f>IF(OR($C188="",$E188=""),"",$E188*$F188)</x:f>
      </x:c>
      <x:c r="H188" s="18"/>
    </x:row>
    <x:row r="189" ht="15" hidden="0" customHeight="1">
      <x:c r="A189" s="22"/>
      <x:c r="B189" s="18"/>
      <x:c r="C189" s="18"/>
      <x:c r="D189" s="18" t="str">
        <x:f>IF($C189="","",XLOOKUP($C189,Products!$A$5:$A$34,Products!$B$5:$B$34,""))</x:f>
      </x:c>
      <x:c r="E189" s="18"/>
      <x:c r="F189" s="19" t="str">
        <x:f>IF($C189="","",XLOOKUP($C189,Products!$A$5:$A$34,Products!$E$5:$E$34,""))</x:f>
      </x:c>
      <x:c r="G189" s="19" t="str">
        <x:f>IF(OR($C189="",$E189=""),"",$E189*$F189)</x:f>
      </x:c>
      <x:c r="H189" s="18"/>
    </x:row>
    <x:row r="190" ht="15" hidden="0" customHeight="1">
      <x:c r="A190" s="22"/>
      <x:c r="B190" s="18"/>
      <x:c r="C190" s="18"/>
      <x:c r="D190" s="18" t="str">
        <x:f>IF($C190="","",XLOOKUP($C190,Products!$A$5:$A$34,Products!$B$5:$B$34,""))</x:f>
      </x:c>
      <x:c r="E190" s="18"/>
      <x:c r="F190" s="19" t="str">
        <x:f>IF($C190="","",XLOOKUP($C190,Products!$A$5:$A$34,Products!$E$5:$E$34,""))</x:f>
      </x:c>
      <x:c r="G190" s="19" t="str">
        <x:f>IF(OR($C190="",$E190=""),"",$E190*$F190)</x:f>
      </x:c>
      <x:c r="H190" s="18"/>
    </x:row>
    <x:row r="191" ht="15" hidden="0" customHeight="1">
      <x:c r="A191" s="22"/>
      <x:c r="B191" s="18"/>
      <x:c r="C191" s="18"/>
      <x:c r="D191" s="18" t="str">
        <x:f>IF($C191="","",XLOOKUP($C191,Products!$A$5:$A$34,Products!$B$5:$B$34,""))</x:f>
      </x:c>
      <x:c r="E191" s="18"/>
      <x:c r="F191" s="19" t="str">
        <x:f>IF($C191="","",XLOOKUP($C191,Products!$A$5:$A$34,Products!$E$5:$E$34,""))</x:f>
      </x:c>
      <x:c r="G191" s="19" t="str">
        <x:f>IF(OR($C191="",$E191=""),"",$E191*$F191)</x:f>
      </x:c>
      <x:c r="H191" s="18"/>
    </x:row>
    <x:row r="192" ht="15" hidden="0" customHeight="1">
      <x:c r="A192" s="22"/>
      <x:c r="B192" s="18"/>
      <x:c r="C192" s="18"/>
      <x:c r="D192" s="18" t="str">
        <x:f>IF($C192="","",XLOOKUP($C192,Products!$A$5:$A$34,Products!$B$5:$B$34,""))</x:f>
      </x:c>
      <x:c r="E192" s="18"/>
      <x:c r="F192" s="19" t="str">
        <x:f>IF($C192="","",XLOOKUP($C192,Products!$A$5:$A$34,Products!$E$5:$E$34,""))</x:f>
      </x:c>
      <x:c r="G192" s="19" t="str">
        <x:f>IF(OR($C192="",$E192=""),"",$E192*$F192)</x:f>
      </x:c>
      <x:c r="H192" s="18"/>
    </x:row>
    <x:row r="193" ht="15" hidden="0" customHeight="1">
      <x:c r="A193" s="22"/>
      <x:c r="B193" s="18"/>
      <x:c r="C193" s="18"/>
      <x:c r="D193" s="18" t="str">
        <x:f>IF($C193="","",XLOOKUP($C193,Products!$A$5:$A$34,Products!$B$5:$B$34,""))</x:f>
      </x:c>
      <x:c r="E193" s="18"/>
      <x:c r="F193" s="19" t="str">
        <x:f>IF($C193="","",XLOOKUP($C193,Products!$A$5:$A$34,Products!$E$5:$E$34,""))</x:f>
      </x:c>
      <x:c r="G193" s="19" t="str">
        <x:f>IF(OR($C193="",$E193=""),"",$E193*$F193)</x:f>
      </x:c>
      <x:c r="H193" s="18"/>
    </x:row>
    <x:row r="194" ht="15" hidden="0" customHeight="1">
      <x:c r="A194" s="22"/>
      <x:c r="B194" s="18"/>
      <x:c r="C194" s="18"/>
      <x:c r="D194" s="18" t="str">
        <x:f>IF($C194="","",XLOOKUP($C194,Products!$A$5:$A$34,Products!$B$5:$B$34,""))</x:f>
      </x:c>
      <x:c r="E194" s="18"/>
      <x:c r="F194" s="19" t="str">
        <x:f>IF($C194="","",XLOOKUP($C194,Products!$A$5:$A$34,Products!$E$5:$E$34,""))</x:f>
      </x:c>
      <x:c r="G194" s="19" t="str">
        <x:f>IF(OR($C194="",$E194=""),"",$E194*$F194)</x:f>
      </x:c>
      <x:c r="H194" s="18"/>
    </x:row>
    <x:row r="195" ht="15" hidden="0" customHeight="1">
      <x:c r="A195" s="22"/>
      <x:c r="B195" s="18"/>
      <x:c r="C195" s="18"/>
      <x:c r="D195" s="18" t="str">
        <x:f>IF($C195="","",XLOOKUP($C195,Products!$A$5:$A$34,Products!$B$5:$B$34,""))</x:f>
      </x:c>
      <x:c r="E195" s="18"/>
      <x:c r="F195" s="19" t="str">
        <x:f>IF($C195="","",XLOOKUP($C195,Products!$A$5:$A$34,Products!$E$5:$E$34,""))</x:f>
      </x:c>
      <x:c r="G195" s="19" t="str">
        <x:f>IF(OR($C195="",$E195=""),"",$E195*$F195)</x:f>
      </x:c>
      <x:c r="H195" s="18"/>
    </x:row>
    <x:row r="196" ht="15" hidden="0" customHeight="1">
      <x:c r="A196" s="22"/>
      <x:c r="B196" s="18"/>
      <x:c r="C196" s="18"/>
      <x:c r="D196" s="18" t="str">
        <x:f>IF($C196="","",XLOOKUP($C196,Products!$A$5:$A$34,Products!$B$5:$B$34,""))</x:f>
      </x:c>
      <x:c r="E196" s="18"/>
      <x:c r="F196" s="19" t="str">
        <x:f>IF($C196="","",XLOOKUP($C196,Products!$A$5:$A$34,Products!$E$5:$E$34,""))</x:f>
      </x:c>
      <x:c r="G196" s="19" t="str">
        <x:f>IF(OR($C196="",$E196=""),"",$E196*$F196)</x:f>
      </x:c>
      <x:c r="H196" s="18"/>
    </x:row>
    <x:row r="197" ht="15" hidden="0" customHeight="1">
      <x:c r="A197" s="22"/>
      <x:c r="B197" s="18"/>
      <x:c r="C197" s="18"/>
      <x:c r="D197" s="18" t="str">
        <x:f>IF($C197="","",XLOOKUP($C197,Products!$A$5:$A$34,Products!$B$5:$B$34,""))</x:f>
      </x:c>
      <x:c r="E197" s="18"/>
      <x:c r="F197" s="19" t="str">
        <x:f>IF($C197="","",XLOOKUP($C197,Products!$A$5:$A$34,Products!$E$5:$E$34,""))</x:f>
      </x:c>
      <x:c r="G197" s="19" t="str">
        <x:f>IF(OR($C197="",$E197=""),"",$E197*$F197)</x:f>
      </x:c>
      <x:c r="H197" s="18"/>
    </x:row>
    <x:row r="198" ht="15" hidden="0" customHeight="1">
      <x:c r="A198" s="22"/>
      <x:c r="B198" s="18"/>
      <x:c r="C198" s="18"/>
      <x:c r="D198" s="18" t="str">
        <x:f>IF($C198="","",XLOOKUP($C198,Products!$A$5:$A$34,Products!$B$5:$B$34,""))</x:f>
      </x:c>
      <x:c r="E198" s="18"/>
      <x:c r="F198" s="19" t="str">
        <x:f>IF($C198="","",XLOOKUP($C198,Products!$A$5:$A$34,Products!$E$5:$E$34,""))</x:f>
      </x:c>
      <x:c r="G198" s="19" t="str">
        <x:f>IF(OR($C198="",$E198=""),"",$E198*$F198)</x:f>
      </x:c>
      <x:c r="H198" s="18"/>
    </x:row>
    <x:row r="199" ht="15" hidden="0" customHeight="1">
      <x:c r="A199" s="22"/>
      <x:c r="B199" s="18"/>
      <x:c r="C199" s="18"/>
      <x:c r="D199" s="18" t="str">
        <x:f>IF($C199="","",XLOOKUP($C199,Products!$A$5:$A$34,Products!$B$5:$B$34,""))</x:f>
      </x:c>
      <x:c r="E199" s="18"/>
      <x:c r="F199" s="19" t="str">
        <x:f>IF($C199="","",XLOOKUP($C199,Products!$A$5:$A$34,Products!$E$5:$E$34,""))</x:f>
      </x:c>
      <x:c r="G199" s="19" t="str">
        <x:f>IF(OR($C199="",$E199=""),"",$E199*$F199)</x:f>
      </x:c>
      <x:c r="H199" s="18"/>
    </x:row>
    <x:row r="200" ht="15" hidden="0" customHeight="1">
      <x:c r="A200" s="22"/>
      <x:c r="B200" s="18"/>
      <x:c r="C200" s="18"/>
      <x:c r="D200" s="18" t="str">
        <x:f>IF($C200="","",XLOOKUP($C200,Products!$A$5:$A$34,Products!$B$5:$B$34,""))</x:f>
      </x:c>
      <x:c r="E200" s="18"/>
      <x:c r="F200" s="19" t="str">
        <x:f>IF($C200="","",XLOOKUP($C200,Products!$A$5:$A$34,Products!$E$5:$E$34,""))</x:f>
      </x:c>
      <x:c r="G200" s="19" t="str">
        <x:f>IF(OR($C200="",$E200=""),"",$E200*$F200)</x:f>
      </x:c>
      <x:c r="H200" s="18"/>
    </x:row>
    <x:row r="201" ht="15" hidden="0" customHeight="1">
      <x:c r="A201" s="22"/>
      <x:c r="B201" s="18"/>
      <x:c r="C201" s="18"/>
      <x:c r="D201" s="18" t="str">
        <x:f>IF($C201="","",XLOOKUP($C201,Products!$A$5:$A$34,Products!$B$5:$B$34,""))</x:f>
      </x:c>
      <x:c r="E201" s="18"/>
      <x:c r="F201" s="19" t="str">
        <x:f>IF($C201="","",XLOOKUP($C201,Products!$A$5:$A$34,Products!$E$5:$E$34,""))</x:f>
      </x:c>
      <x:c r="G201" s="19" t="str">
        <x:f>IF(OR($C201="",$E201=""),"",$E201*$F201)</x:f>
      </x:c>
      <x:c r="H201" s="18"/>
    </x:row>
    <x:row r="202" ht="15" hidden="0" customHeight="1">
      <x:c r="A202" s="22"/>
      <x:c r="B202" s="18"/>
      <x:c r="C202" s="18"/>
      <x:c r="D202" s="18" t="str">
        <x:f>IF($C202="","",XLOOKUP($C202,Products!$A$5:$A$34,Products!$B$5:$B$34,""))</x:f>
      </x:c>
      <x:c r="E202" s="18"/>
      <x:c r="F202" s="19" t="str">
        <x:f>IF($C202="","",XLOOKUP($C202,Products!$A$5:$A$34,Products!$E$5:$E$34,""))</x:f>
      </x:c>
      <x:c r="G202" s="19" t="str">
        <x:f>IF(OR($C202="",$E202=""),"",$E202*$F202)</x:f>
      </x:c>
      <x:c r="H202" s="18"/>
    </x:row>
    <x:row r="203" ht="15" hidden="0" customHeight="1">
      <x:c r="A203" s="22"/>
      <x:c r="B203" s="18"/>
      <x:c r="C203" s="18"/>
      <x:c r="D203" s="18" t="str">
        <x:f>IF($C203="","",XLOOKUP($C203,Products!$A$5:$A$34,Products!$B$5:$B$34,""))</x:f>
      </x:c>
      <x:c r="E203" s="18"/>
      <x:c r="F203" s="19" t="str">
        <x:f>IF($C203="","",XLOOKUP($C203,Products!$A$5:$A$34,Products!$E$5:$E$34,""))</x:f>
      </x:c>
      <x:c r="G203" s="19" t="str">
        <x:f>IF(OR($C203="",$E203=""),"",$E203*$F203)</x:f>
      </x:c>
      <x:c r="H203" s="18"/>
    </x:row>
    <x:row r="204" ht="15" hidden="0" customHeight="1">
      <x:c r="A204" s="22"/>
      <x:c r="B204" s="18"/>
      <x:c r="C204" s="18"/>
      <x:c r="D204" s="18" t="str">
        <x:f>IF($C204="","",XLOOKUP($C204,Products!$A$5:$A$34,Products!$B$5:$B$34,""))</x:f>
      </x:c>
      <x:c r="E204" s="18"/>
      <x:c r="F204" s="19" t="str">
        <x:f>IF($C204="","",XLOOKUP($C204,Products!$A$5:$A$34,Products!$E$5:$E$34,""))</x:f>
      </x:c>
      <x:c r="G204" s="19" t="str">
        <x:f>IF(OR($C204="",$E204=""),"",$E204*$F204)</x:f>
      </x:c>
      <x:c r="H204" s="18"/>
    </x:row>
    <x:row r="205" ht="15" hidden="0" customHeight="1">
      <x:c r="A205" s="22"/>
      <x:c r="B205" s="18"/>
      <x:c r="C205" s="18"/>
      <x:c r="D205" s="18" t="str">
        <x:f>IF($C205="","",XLOOKUP($C205,Products!$A$5:$A$34,Products!$B$5:$B$34,""))</x:f>
      </x:c>
      <x:c r="E205" s="18"/>
      <x:c r="F205" s="19" t="str">
        <x:f>IF($C205="","",XLOOKUP($C205,Products!$A$5:$A$34,Products!$E$5:$E$34,""))</x:f>
      </x:c>
      <x:c r="G205" s="19" t="str">
        <x:f>IF(OR($C205="",$E205=""),"",$E205*$F205)</x:f>
      </x:c>
      <x:c r="H205" s="18"/>
    </x:row>
    <x:row r="206" ht="15" hidden="0" customHeight="1">
      <x:c r="A206" s="22"/>
      <x:c r="B206" s="18"/>
      <x:c r="C206" s="18"/>
      <x:c r="D206" s="18" t="str">
        <x:f>IF($C206="","",XLOOKUP($C206,Products!$A$5:$A$34,Products!$B$5:$B$34,""))</x:f>
      </x:c>
      <x:c r="E206" s="18"/>
      <x:c r="F206" s="19" t="str">
        <x:f>IF($C206="","",XLOOKUP($C206,Products!$A$5:$A$34,Products!$E$5:$E$34,""))</x:f>
      </x:c>
      <x:c r="G206" s="19" t="str">
        <x:f>IF(OR($C206="",$E206=""),"",$E206*$F206)</x:f>
      </x:c>
      <x:c r="H206" s="18"/>
    </x:row>
    <x:row r="207" ht="15" hidden="0" customHeight="1">
      <x:c r="A207" s="22"/>
      <x:c r="B207" s="18"/>
      <x:c r="C207" s="18"/>
      <x:c r="D207" s="18" t="str">
        <x:f>IF($C207="","",XLOOKUP($C207,Products!$A$5:$A$34,Products!$B$5:$B$34,""))</x:f>
      </x:c>
      <x:c r="E207" s="18"/>
      <x:c r="F207" s="19" t="str">
        <x:f>IF($C207="","",XLOOKUP($C207,Products!$A$5:$A$34,Products!$E$5:$E$34,""))</x:f>
      </x:c>
      <x:c r="G207" s="19" t="str">
        <x:f>IF(OR($C207="",$E207=""),"",$E207*$F207)</x:f>
      </x:c>
      <x:c r="H207" s="18"/>
    </x:row>
    <x:row r="208" ht="15" hidden="0" customHeight="1">
      <x:c r="A208" s="22"/>
      <x:c r="B208" s="18"/>
      <x:c r="C208" s="18"/>
      <x:c r="D208" s="18" t="str">
        <x:f>IF($C208="","",XLOOKUP($C208,Products!$A$5:$A$34,Products!$B$5:$B$34,""))</x:f>
      </x:c>
      <x:c r="E208" s="18"/>
      <x:c r="F208" s="19" t="str">
        <x:f>IF($C208="","",XLOOKUP($C208,Products!$A$5:$A$34,Products!$E$5:$E$34,""))</x:f>
      </x:c>
      <x:c r="G208" s="19" t="str">
        <x:f>IF(OR($C208="",$E208=""),"",$E208*$F208)</x:f>
      </x:c>
      <x:c r="H208" s="18"/>
    </x:row>
    <x:row r="209" ht="15" hidden="0" customHeight="1">
      <x:c r="A209" s="22"/>
      <x:c r="B209" s="18"/>
      <x:c r="C209" s="18"/>
      <x:c r="D209" s="18" t="str">
        <x:f>IF($C209="","",XLOOKUP($C209,Products!$A$5:$A$34,Products!$B$5:$B$34,""))</x:f>
      </x:c>
      <x:c r="E209" s="18"/>
      <x:c r="F209" s="19" t="str">
        <x:f>IF($C209="","",XLOOKUP($C209,Products!$A$5:$A$34,Products!$E$5:$E$34,""))</x:f>
      </x:c>
      <x:c r="G209" s="19" t="str">
        <x:f>IF(OR($C209="",$E209=""),"",$E209*$F209)</x:f>
      </x:c>
      <x:c r="H209" s="18"/>
    </x:row>
    <x:row r="210" ht="15" hidden="0" customHeight="1">
      <x:c r="A210" s="22"/>
      <x:c r="B210" s="18"/>
      <x:c r="C210" s="18"/>
      <x:c r="D210" s="18" t="str">
        <x:f>IF($C210="","",XLOOKUP($C210,Products!$A$5:$A$34,Products!$B$5:$B$34,""))</x:f>
      </x:c>
      <x:c r="E210" s="18"/>
      <x:c r="F210" s="19" t="str">
        <x:f>IF($C210="","",XLOOKUP($C210,Products!$A$5:$A$34,Products!$E$5:$E$34,""))</x:f>
      </x:c>
      <x:c r="G210" s="19" t="str">
        <x:f>IF(OR($C210="",$E210=""),"",$E210*$F210)</x:f>
      </x:c>
      <x:c r="H210" s="18"/>
    </x:row>
    <x:row r="211" ht="15" hidden="0" customHeight="1">
      <x:c r="A211" s="22"/>
      <x:c r="B211" s="18"/>
      <x:c r="C211" s="18"/>
      <x:c r="D211" s="18" t="str">
        <x:f>IF($C211="","",XLOOKUP($C211,Products!$A$5:$A$34,Products!$B$5:$B$34,""))</x:f>
      </x:c>
      <x:c r="E211" s="18"/>
      <x:c r="F211" s="19" t="str">
        <x:f>IF($C211="","",XLOOKUP($C211,Products!$A$5:$A$34,Products!$E$5:$E$34,""))</x:f>
      </x:c>
      <x:c r="G211" s="19" t="str">
        <x:f>IF(OR($C211="",$E211=""),"",$E211*$F211)</x:f>
      </x:c>
      <x:c r="H211" s="18"/>
    </x:row>
    <x:row r="212" ht="15" hidden="0" customHeight="1">
      <x:c r="A212" s="22"/>
      <x:c r="B212" s="18"/>
      <x:c r="C212" s="18"/>
      <x:c r="D212" s="18" t="str">
        <x:f>IF($C212="","",XLOOKUP($C212,Products!$A$5:$A$34,Products!$B$5:$B$34,""))</x:f>
      </x:c>
      <x:c r="E212" s="18"/>
      <x:c r="F212" s="19" t="str">
        <x:f>IF($C212="","",XLOOKUP($C212,Products!$A$5:$A$34,Products!$E$5:$E$34,""))</x:f>
      </x:c>
      <x:c r="G212" s="19" t="str">
        <x:f>IF(OR($C212="",$E212=""),"",$E212*$F212)</x:f>
      </x:c>
      <x:c r="H212" s="18"/>
    </x:row>
    <x:row r="213" ht="15" hidden="0" customHeight="1">
      <x:c r="A213" s="22"/>
      <x:c r="B213" s="18"/>
      <x:c r="C213" s="18"/>
      <x:c r="D213" s="18" t="str">
        <x:f>IF($C213="","",XLOOKUP($C213,Products!$A$5:$A$34,Products!$B$5:$B$34,""))</x:f>
      </x:c>
      <x:c r="E213" s="18"/>
      <x:c r="F213" s="19" t="str">
        <x:f>IF($C213="","",XLOOKUP($C213,Products!$A$5:$A$34,Products!$E$5:$E$34,""))</x:f>
      </x:c>
      <x:c r="G213" s="19" t="str">
        <x:f>IF(OR($C213="",$E213=""),"",$E213*$F213)</x:f>
      </x:c>
      <x:c r="H213" s="18"/>
    </x:row>
    <x:row r="214" ht="15" hidden="0" customHeight="1">
      <x:c r="A214" s="22"/>
      <x:c r="B214" s="18"/>
      <x:c r="C214" s="18"/>
      <x:c r="D214" s="18" t="str">
        <x:f>IF($C214="","",XLOOKUP($C214,Products!$A$5:$A$34,Products!$B$5:$B$34,""))</x:f>
      </x:c>
      <x:c r="E214" s="18"/>
      <x:c r="F214" s="19" t="str">
        <x:f>IF($C214="","",XLOOKUP($C214,Products!$A$5:$A$34,Products!$E$5:$E$34,""))</x:f>
      </x:c>
      <x:c r="G214" s="19" t="str">
        <x:f>IF(OR($C214="",$E214=""),"",$E214*$F214)</x:f>
      </x:c>
      <x:c r="H214" s="18"/>
    </x:row>
    <x:row r="215" ht="15" hidden="0" customHeight="1">
      <x:c r="A215" s="22"/>
      <x:c r="B215" s="18"/>
      <x:c r="C215" s="18"/>
      <x:c r="D215" s="18" t="str">
        <x:f>IF($C215="","",XLOOKUP($C215,Products!$A$5:$A$34,Products!$B$5:$B$34,""))</x:f>
      </x:c>
      <x:c r="E215" s="18"/>
      <x:c r="F215" s="19" t="str">
        <x:f>IF($C215="","",XLOOKUP($C215,Products!$A$5:$A$34,Products!$E$5:$E$34,""))</x:f>
      </x:c>
      <x:c r="G215" s="19" t="str">
        <x:f>IF(OR($C215="",$E215=""),"",$E215*$F215)</x:f>
      </x:c>
      <x:c r="H215" s="18"/>
    </x:row>
    <x:row r="216" ht="15" hidden="0" customHeight="1">
      <x:c r="A216" s="22"/>
      <x:c r="B216" s="18"/>
      <x:c r="C216" s="18"/>
      <x:c r="D216" s="18" t="str">
        <x:f>IF($C216="","",XLOOKUP($C216,Products!$A$5:$A$34,Products!$B$5:$B$34,""))</x:f>
      </x:c>
      <x:c r="E216" s="18"/>
      <x:c r="F216" s="19" t="str">
        <x:f>IF($C216="","",XLOOKUP($C216,Products!$A$5:$A$34,Products!$E$5:$E$34,""))</x:f>
      </x:c>
      <x:c r="G216" s="19" t="str">
        <x:f>IF(OR($C216="",$E216=""),"",$E216*$F216)</x:f>
      </x:c>
      <x:c r="H216" s="18"/>
    </x:row>
    <x:row r="217" ht="15" hidden="0" customHeight="1">
      <x:c r="A217" s="22"/>
      <x:c r="B217" s="18"/>
      <x:c r="C217" s="18"/>
      <x:c r="D217" s="18" t="str">
        <x:f>IF($C217="","",XLOOKUP($C217,Products!$A$5:$A$34,Products!$B$5:$B$34,""))</x:f>
      </x:c>
      <x:c r="E217" s="18"/>
      <x:c r="F217" s="19" t="str">
        <x:f>IF($C217="","",XLOOKUP($C217,Products!$A$5:$A$34,Products!$E$5:$E$34,""))</x:f>
      </x:c>
      <x:c r="G217" s="19" t="str">
        <x:f>IF(OR($C217="",$E217=""),"",$E217*$F217)</x:f>
      </x:c>
      <x:c r="H217" s="18"/>
    </x:row>
    <x:row r="218" ht="15" hidden="0" customHeight="1">
      <x:c r="A218" s="22"/>
      <x:c r="B218" s="18"/>
      <x:c r="C218" s="18"/>
      <x:c r="D218" s="18" t="str">
        <x:f>IF($C218="","",XLOOKUP($C218,Products!$A$5:$A$34,Products!$B$5:$B$34,""))</x:f>
      </x:c>
      <x:c r="E218" s="18"/>
      <x:c r="F218" s="19" t="str">
        <x:f>IF($C218="","",XLOOKUP($C218,Products!$A$5:$A$34,Products!$E$5:$E$34,""))</x:f>
      </x:c>
      <x:c r="G218" s="19" t="str">
        <x:f>IF(OR($C218="",$E218=""),"",$E218*$F218)</x:f>
      </x:c>
      <x:c r="H218" s="18"/>
    </x:row>
    <x:row r="219" ht="15" hidden="0" customHeight="1">
      <x:c r="A219" s="22"/>
      <x:c r="B219" s="18"/>
      <x:c r="C219" s="18"/>
      <x:c r="D219" s="18" t="str">
        <x:f>IF($C219="","",XLOOKUP($C219,Products!$A$5:$A$34,Products!$B$5:$B$34,""))</x:f>
      </x:c>
      <x:c r="E219" s="18"/>
      <x:c r="F219" s="19" t="str">
        <x:f>IF($C219="","",XLOOKUP($C219,Products!$A$5:$A$34,Products!$E$5:$E$34,""))</x:f>
      </x:c>
      <x:c r="G219" s="19" t="str">
        <x:f>IF(OR($C219="",$E219=""),"",$E219*$F219)</x:f>
      </x:c>
      <x:c r="H219" s="18"/>
    </x:row>
    <x:row r="220" ht="15" hidden="0" customHeight="1">
      <x:c r="A220" s="22"/>
      <x:c r="B220" s="18"/>
      <x:c r="C220" s="18"/>
      <x:c r="D220" s="18" t="str">
        <x:f>IF($C220="","",XLOOKUP($C220,Products!$A$5:$A$34,Products!$B$5:$B$34,""))</x:f>
      </x:c>
      <x:c r="E220" s="18"/>
      <x:c r="F220" s="19" t="str">
        <x:f>IF($C220="","",XLOOKUP($C220,Products!$A$5:$A$34,Products!$E$5:$E$34,""))</x:f>
      </x:c>
      <x:c r="G220" s="19" t="str">
        <x:f>IF(OR($C220="",$E220=""),"",$E220*$F220)</x:f>
      </x:c>
      <x:c r="H220" s="18"/>
    </x:row>
    <x:row r="221" ht="15" hidden="0" customHeight="1">
      <x:c r="A221" s="22"/>
      <x:c r="B221" s="18"/>
      <x:c r="C221" s="18"/>
      <x:c r="D221" s="18" t="str">
        <x:f>IF($C221="","",XLOOKUP($C221,Products!$A$5:$A$34,Products!$B$5:$B$34,""))</x:f>
      </x:c>
      <x:c r="E221" s="18"/>
      <x:c r="F221" s="19" t="str">
        <x:f>IF($C221="","",XLOOKUP($C221,Products!$A$5:$A$34,Products!$E$5:$E$34,""))</x:f>
      </x:c>
      <x:c r="G221" s="19" t="str">
        <x:f>IF(OR($C221="",$E221=""),"",$E221*$F221)</x:f>
      </x:c>
      <x:c r="H221" s="18"/>
    </x:row>
    <x:row r="222" ht="15" hidden="0" customHeight="1">
      <x:c r="A222" s="22"/>
      <x:c r="B222" s="18"/>
      <x:c r="C222" s="18"/>
      <x:c r="D222" s="18" t="str">
        <x:f>IF($C222="","",XLOOKUP($C222,Products!$A$5:$A$34,Products!$B$5:$B$34,""))</x:f>
      </x:c>
      <x:c r="E222" s="18"/>
      <x:c r="F222" s="19" t="str">
        <x:f>IF($C222="","",XLOOKUP($C222,Products!$A$5:$A$34,Products!$E$5:$E$34,""))</x:f>
      </x:c>
      <x:c r="G222" s="19" t="str">
        <x:f>IF(OR($C222="",$E222=""),"",$E222*$F222)</x:f>
      </x:c>
      <x:c r="H222" s="18"/>
    </x:row>
    <x:row r="223" ht="15" hidden="0" customHeight="1">
      <x:c r="A223" s="22"/>
      <x:c r="B223" s="18"/>
      <x:c r="C223" s="18"/>
      <x:c r="D223" s="18" t="str">
        <x:f>IF($C223="","",XLOOKUP($C223,Products!$A$5:$A$34,Products!$B$5:$B$34,""))</x:f>
      </x:c>
      <x:c r="E223" s="18"/>
      <x:c r="F223" s="19" t="str">
        <x:f>IF($C223="","",XLOOKUP($C223,Products!$A$5:$A$34,Products!$E$5:$E$34,""))</x:f>
      </x:c>
      <x:c r="G223" s="19" t="str">
        <x:f>IF(OR($C223="",$E223=""),"",$E223*$F223)</x:f>
      </x:c>
      <x:c r="H223" s="18"/>
    </x:row>
    <x:row r="224" ht="15" hidden="0" customHeight="1">
      <x:c r="A224" s="22"/>
      <x:c r="B224" s="18"/>
      <x:c r="C224" s="18"/>
      <x:c r="D224" s="18" t="str">
        <x:f>IF($C224="","",XLOOKUP($C224,Products!$A$5:$A$34,Products!$B$5:$B$34,""))</x:f>
      </x:c>
      <x:c r="E224" s="18"/>
      <x:c r="F224" s="19" t="str">
        <x:f>IF($C224="","",XLOOKUP($C224,Products!$A$5:$A$34,Products!$E$5:$E$34,""))</x:f>
      </x:c>
      <x:c r="G224" s="19" t="str">
        <x:f>IF(OR($C224="",$E224=""),"",$E224*$F224)</x:f>
      </x:c>
      <x:c r="H224" s="18"/>
    </x:row>
    <x:row r="225" ht="15" hidden="0" customHeight="1">
      <x:c r="A225" s="22"/>
      <x:c r="B225" s="18"/>
      <x:c r="C225" s="18"/>
      <x:c r="D225" s="18" t="str">
        <x:f>IF($C225="","",XLOOKUP($C225,Products!$A$5:$A$34,Products!$B$5:$B$34,""))</x:f>
      </x:c>
      <x:c r="E225" s="18"/>
      <x:c r="F225" s="19" t="str">
        <x:f>IF($C225="","",XLOOKUP($C225,Products!$A$5:$A$34,Products!$E$5:$E$34,""))</x:f>
      </x:c>
      <x:c r="G225" s="19" t="str">
        <x:f>IF(OR($C225="",$E225=""),"",$E225*$F225)</x:f>
      </x:c>
      <x:c r="H225" s="18"/>
    </x:row>
    <x:row r="226" ht="15" hidden="0" customHeight="1">
      <x:c r="A226" s="22"/>
      <x:c r="B226" s="18"/>
      <x:c r="C226" s="18"/>
      <x:c r="D226" s="18" t="str">
        <x:f>IF($C226="","",XLOOKUP($C226,Products!$A$5:$A$34,Products!$B$5:$B$34,""))</x:f>
      </x:c>
      <x:c r="E226" s="18"/>
      <x:c r="F226" s="19" t="str">
        <x:f>IF($C226="","",XLOOKUP($C226,Products!$A$5:$A$34,Products!$E$5:$E$34,""))</x:f>
      </x:c>
      <x:c r="G226" s="19" t="str">
        <x:f>IF(OR($C226="",$E226=""),"",$E226*$F226)</x:f>
      </x:c>
      <x:c r="H226" s="18"/>
    </x:row>
    <x:row r="227" ht="15" hidden="0" customHeight="1">
      <x:c r="A227" s="22"/>
      <x:c r="B227" s="18"/>
      <x:c r="C227" s="18"/>
      <x:c r="D227" s="18" t="str">
        <x:f>IF($C227="","",XLOOKUP($C227,Products!$A$5:$A$34,Products!$B$5:$B$34,""))</x:f>
      </x:c>
      <x:c r="E227" s="18"/>
      <x:c r="F227" s="19" t="str">
        <x:f>IF($C227="","",XLOOKUP($C227,Products!$A$5:$A$34,Products!$E$5:$E$34,""))</x:f>
      </x:c>
      <x:c r="G227" s="19" t="str">
        <x:f>IF(OR($C227="",$E227=""),"",$E227*$F227)</x:f>
      </x:c>
      <x:c r="H227" s="18"/>
    </x:row>
    <x:row r="228" ht="15" hidden="0" customHeight="1">
      <x:c r="A228" s="22"/>
      <x:c r="B228" s="18"/>
      <x:c r="C228" s="18"/>
      <x:c r="D228" s="18" t="str">
        <x:f>IF($C228="","",XLOOKUP($C228,Products!$A$5:$A$34,Products!$B$5:$B$34,""))</x:f>
      </x:c>
      <x:c r="E228" s="18"/>
      <x:c r="F228" s="19" t="str">
        <x:f>IF($C228="","",XLOOKUP($C228,Products!$A$5:$A$34,Products!$E$5:$E$34,""))</x:f>
      </x:c>
      <x:c r="G228" s="19" t="str">
        <x:f>IF(OR($C228="",$E228=""),"",$E228*$F228)</x:f>
      </x:c>
      <x:c r="H228" s="18"/>
    </x:row>
    <x:row r="229" ht="15" hidden="0" customHeight="1">
      <x:c r="A229" s="22"/>
      <x:c r="B229" s="18"/>
      <x:c r="C229" s="18"/>
      <x:c r="D229" s="18" t="str">
        <x:f>IF($C229="","",XLOOKUP($C229,Products!$A$5:$A$34,Products!$B$5:$B$34,""))</x:f>
      </x:c>
      <x:c r="E229" s="18"/>
      <x:c r="F229" s="19" t="str">
        <x:f>IF($C229="","",XLOOKUP($C229,Products!$A$5:$A$34,Products!$E$5:$E$34,""))</x:f>
      </x:c>
      <x:c r="G229" s="19" t="str">
        <x:f>IF(OR($C229="",$E229=""),"",$E229*$F229)</x:f>
      </x:c>
      <x:c r="H229" s="18"/>
    </x:row>
    <x:row r="230" ht="15" hidden="0" customHeight="1">
      <x:c r="A230" s="22"/>
      <x:c r="B230" s="18"/>
      <x:c r="C230" s="18"/>
      <x:c r="D230" s="18" t="str">
        <x:f>IF($C230="","",XLOOKUP($C230,Products!$A$5:$A$34,Products!$B$5:$B$34,""))</x:f>
      </x:c>
      <x:c r="E230" s="18"/>
      <x:c r="F230" s="19" t="str">
        <x:f>IF($C230="","",XLOOKUP($C230,Products!$A$5:$A$34,Products!$E$5:$E$34,""))</x:f>
      </x:c>
      <x:c r="G230" s="19" t="str">
        <x:f>IF(OR($C230="",$E230=""),"",$E230*$F230)</x:f>
      </x:c>
      <x:c r="H230" s="18"/>
    </x:row>
    <x:row r="231" ht="15" hidden="0" customHeight="1">
      <x:c r="A231" s="22"/>
      <x:c r="B231" s="18"/>
      <x:c r="C231" s="18"/>
      <x:c r="D231" s="18" t="str">
        <x:f>IF($C231="","",XLOOKUP($C231,Products!$A$5:$A$34,Products!$B$5:$B$34,""))</x:f>
      </x:c>
      <x:c r="E231" s="18"/>
      <x:c r="F231" s="19" t="str">
        <x:f>IF($C231="","",XLOOKUP($C231,Products!$A$5:$A$34,Products!$E$5:$E$34,""))</x:f>
      </x:c>
      <x:c r="G231" s="19" t="str">
        <x:f>IF(OR($C231="",$E231=""),"",$E231*$F231)</x:f>
      </x:c>
      <x:c r="H231" s="18"/>
    </x:row>
    <x:row r="232" ht="15" hidden="0" customHeight="1">
      <x:c r="A232" s="22"/>
      <x:c r="B232" s="18"/>
      <x:c r="C232" s="18"/>
      <x:c r="D232" s="18" t="str">
        <x:f>IF($C232="","",XLOOKUP($C232,Products!$A$5:$A$34,Products!$B$5:$B$34,""))</x:f>
      </x:c>
      <x:c r="E232" s="18"/>
      <x:c r="F232" s="19" t="str">
        <x:f>IF($C232="","",XLOOKUP($C232,Products!$A$5:$A$34,Products!$E$5:$E$34,""))</x:f>
      </x:c>
      <x:c r="G232" s="19" t="str">
        <x:f>IF(OR($C232="",$E232=""),"",$E232*$F232)</x:f>
      </x:c>
      <x:c r="H232" s="18"/>
    </x:row>
    <x:row r="233" ht="15" hidden="0" customHeight="1">
      <x:c r="A233" s="22"/>
      <x:c r="B233" s="18"/>
      <x:c r="C233" s="18"/>
      <x:c r="D233" s="18" t="str">
        <x:f>IF($C233="","",XLOOKUP($C233,Products!$A$5:$A$34,Products!$B$5:$B$34,""))</x:f>
      </x:c>
      <x:c r="E233" s="18"/>
      <x:c r="F233" s="19" t="str">
        <x:f>IF($C233="","",XLOOKUP($C233,Products!$A$5:$A$34,Products!$E$5:$E$34,""))</x:f>
      </x:c>
      <x:c r="G233" s="19" t="str">
        <x:f>IF(OR($C233="",$E233=""),"",$E233*$F233)</x:f>
      </x:c>
      <x:c r="H233" s="18"/>
    </x:row>
    <x:row r="234" ht="15" hidden="0" customHeight="1">
      <x:c r="A234" s="22"/>
      <x:c r="B234" s="18"/>
      <x:c r="C234" s="18"/>
      <x:c r="D234" s="18" t="str">
        <x:f>IF($C234="","",XLOOKUP($C234,Products!$A$5:$A$34,Products!$B$5:$B$34,""))</x:f>
      </x:c>
      <x:c r="E234" s="18"/>
      <x:c r="F234" s="19" t="str">
        <x:f>IF($C234="","",XLOOKUP($C234,Products!$A$5:$A$34,Products!$E$5:$E$34,""))</x:f>
      </x:c>
      <x:c r="G234" s="19" t="str">
        <x:f>IF(OR($C234="",$E234=""),"",$E234*$F234)</x:f>
      </x:c>
      <x:c r="H234" s="18"/>
    </x:row>
    <x:row r="235" ht="15" hidden="0" customHeight="1">
      <x:c r="A235" s="22"/>
      <x:c r="B235" s="18"/>
      <x:c r="C235" s="18"/>
      <x:c r="D235" s="18" t="str">
        <x:f>IF($C235="","",XLOOKUP($C235,Products!$A$5:$A$34,Products!$B$5:$B$34,""))</x:f>
      </x:c>
      <x:c r="E235" s="18"/>
      <x:c r="F235" s="19" t="str">
        <x:f>IF($C235="","",XLOOKUP($C235,Products!$A$5:$A$34,Products!$E$5:$E$34,""))</x:f>
      </x:c>
      <x:c r="G235" s="19" t="str">
        <x:f>IF(OR($C235="",$E235=""),"",$E235*$F235)</x:f>
      </x:c>
      <x:c r="H235" s="18"/>
    </x:row>
    <x:row r="236" ht="15" hidden="0" customHeight="1">
      <x:c r="A236" s="22"/>
      <x:c r="B236" s="18"/>
      <x:c r="C236" s="18"/>
      <x:c r="D236" s="18" t="str">
        <x:f>IF($C236="","",XLOOKUP($C236,Products!$A$5:$A$34,Products!$B$5:$B$34,""))</x:f>
      </x:c>
      <x:c r="E236" s="18"/>
      <x:c r="F236" s="19" t="str">
        <x:f>IF($C236="","",XLOOKUP($C236,Products!$A$5:$A$34,Products!$E$5:$E$34,""))</x:f>
      </x:c>
      <x:c r="G236" s="19" t="str">
        <x:f>IF(OR($C236="",$E236=""),"",$E236*$F236)</x:f>
      </x:c>
      <x:c r="H236" s="18"/>
    </x:row>
    <x:row r="237" ht="15" hidden="0" customHeight="1">
      <x:c r="A237" s="22"/>
      <x:c r="B237" s="18"/>
      <x:c r="C237" s="18"/>
      <x:c r="D237" s="18" t="str">
        <x:f>IF($C237="","",XLOOKUP($C237,Products!$A$5:$A$34,Products!$B$5:$B$34,""))</x:f>
      </x:c>
      <x:c r="E237" s="18"/>
      <x:c r="F237" s="19" t="str">
        <x:f>IF($C237="","",XLOOKUP($C237,Products!$A$5:$A$34,Products!$E$5:$E$34,""))</x:f>
      </x:c>
      <x:c r="G237" s="19" t="str">
        <x:f>IF(OR($C237="",$E237=""),"",$E237*$F237)</x:f>
      </x:c>
      <x:c r="H237" s="18"/>
    </x:row>
    <x:row r="238" ht="15" hidden="0" customHeight="1">
      <x:c r="A238" s="22"/>
      <x:c r="B238" s="18"/>
      <x:c r="C238" s="18"/>
      <x:c r="D238" s="18" t="str">
        <x:f>IF($C238="","",XLOOKUP($C238,Products!$A$5:$A$34,Products!$B$5:$B$34,""))</x:f>
      </x:c>
      <x:c r="E238" s="18"/>
      <x:c r="F238" s="19" t="str">
        <x:f>IF($C238="","",XLOOKUP($C238,Products!$A$5:$A$34,Products!$E$5:$E$34,""))</x:f>
      </x:c>
      <x:c r="G238" s="19" t="str">
        <x:f>IF(OR($C238="",$E238=""),"",$E238*$F238)</x:f>
      </x:c>
      <x:c r="H238" s="18"/>
    </x:row>
    <x:row r="239" ht="15" hidden="0" customHeight="1">
      <x:c r="A239" s="22"/>
      <x:c r="B239" s="18"/>
      <x:c r="C239" s="18"/>
      <x:c r="D239" s="18" t="str">
        <x:f>IF($C239="","",XLOOKUP($C239,Products!$A$5:$A$34,Products!$B$5:$B$34,""))</x:f>
      </x:c>
      <x:c r="E239" s="18"/>
      <x:c r="F239" s="19" t="str">
        <x:f>IF($C239="","",XLOOKUP($C239,Products!$A$5:$A$34,Products!$E$5:$E$34,""))</x:f>
      </x:c>
      <x:c r="G239" s="19" t="str">
        <x:f>IF(OR($C239="",$E239=""),"",$E239*$F239)</x:f>
      </x:c>
      <x:c r="H239" s="18"/>
    </x:row>
    <x:row r="240" ht="15" hidden="0" customHeight="1">
      <x:c r="A240" s="22"/>
      <x:c r="B240" s="18"/>
      <x:c r="C240" s="18"/>
      <x:c r="D240" s="18" t="str">
        <x:f>IF($C240="","",XLOOKUP($C240,Products!$A$5:$A$34,Products!$B$5:$B$34,""))</x:f>
      </x:c>
      <x:c r="E240" s="18"/>
      <x:c r="F240" s="19" t="str">
        <x:f>IF($C240="","",XLOOKUP($C240,Products!$A$5:$A$34,Products!$E$5:$E$34,""))</x:f>
      </x:c>
      <x:c r="G240" s="19" t="str">
        <x:f>IF(OR($C240="",$E240=""),"",$E240*$F240)</x:f>
      </x:c>
      <x:c r="H240" s="18"/>
    </x:row>
    <x:row r="241" ht="15" hidden="0" customHeight="1">
      <x:c r="A241" s="22"/>
      <x:c r="B241" s="18"/>
      <x:c r="C241" s="18"/>
      <x:c r="D241" s="18" t="str">
        <x:f>IF($C241="","",XLOOKUP($C241,Products!$A$5:$A$34,Products!$B$5:$B$34,""))</x:f>
      </x:c>
      <x:c r="E241" s="18"/>
      <x:c r="F241" s="19" t="str">
        <x:f>IF($C241="","",XLOOKUP($C241,Products!$A$5:$A$34,Products!$E$5:$E$34,""))</x:f>
      </x:c>
      <x:c r="G241" s="19" t="str">
        <x:f>IF(OR($C241="",$E241=""),"",$E241*$F241)</x:f>
      </x:c>
      <x:c r="H241" s="18"/>
    </x:row>
    <x:row r="242" ht="15" hidden="0" customHeight="1">
      <x:c r="A242" s="22"/>
      <x:c r="B242" s="18"/>
      <x:c r="C242" s="18"/>
      <x:c r="D242" s="18" t="str">
        <x:f>IF($C242="","",XLOOKUP($C242,Products!$A$5:$A$34,Products!$B$5:$B$34,""))</x:f>
      </x:c>
      <x:c r="E242" s="18"/>
      <x:c r="F242" s="19" t="str">
        <x:f>IF($C242="","",XLOOKUP($C242,Products!$A$5:$A$34,Products!$E$5:$E$34,""))</x:f>
      </x:c>
      <x:c r="G242" s="19" t="str">
        <x:f>IF(OR($C242="",$E242=""),"",$E242*$F242)</x:f>
      </x:c>
      <x:c r="H242" s="18"/>
    </x:row>
    <x:row r="243" ht="15" hidden="0" customHeight="1">
      <x:c r="A243" s="22"/>
      <x:c r="B243" s="18"/>
      <x:c r="C243" s="18"/>
      <x:c r="D243" s="18" t="str">
        <x:f>IF($C243="","",XLOOKUP($C243,Products!$A$5:$A$34,Products!$B$5:$B$34,""))</x:f>
      </x:c>
      <x:c r="E243" s="18"/>
      <x:c r="F243" s="19" t="str">
        <x:f>IF($C243="","",XLOOKUP($C243,Products!$A$5:$A$34,Products!$E$5:$E$34,""))</x:f>
      </x:c>
      <x:c r="G243" s="19" t="str">
        <x:f>IF(OR($C243="",$E243=""),"",$E243*$F243)</x:f>
      </x:c>
      <x:c r="H243" s="18"/>
    </x:row>
    <x:row r="244" ht="15" hidden="0" customHeight="1">
      <x:c r="A244" s="22"/>
      <x:c r="B244" s="18"/>
      <x:c r="C244" s="18"/>
      <x:c r="D244" s="18" t="str">
        <x:f>IF($C244="","",XLOOKUP($C244,Products!$A$5:$A$34,Products!$B$5:$B$34,""))</x:f>
      </x:c>
      <x:c r="E244" s="18"/>
      <x:c r="F244" s="19" t="str">
        <x:f>IF($C244="","",XLOOKUP($C244,Products!$A$5:$A$34,Products!$E$5:$E$34,""))</x:f>
      </x:c>
      <x:c r="G244" s="19" t="str">
        <x:f>IF(OR($C244="",$E244=""),"",$E244*$F244)</x:f>
      </x:c>
      <x:c r="H244" s="18"/>
    </x:row>
    <x:row r="245" ht="15" hidden="0" customHeight="1">
      <x:c r="A245" s="22"/>
      <x:c r="B245" s="18"/>
      <x:c r="C245" s="18"/>
      <x:c r="D245" s="18" t="str">
        <x:f>IF($C245="","",XLOOKUP($C245,Products!$A$5:$A$34,Products!$B$5:$B$34,""))</x:f>
      </x:c>
      <x:c r="E245" s="18"/>
      <x:c r="F245" s="19" t="str">
        <x:f>IF($C245="","",XLOOKUP($C245,Products!$A$5:$A$34,Products!$E$5:$E$34,""))</x:f>
      </x:c>
      <x:c r="G245" s="19" t="str">
        <x:f>IF(OR($C245="",$E245=""),"",$E245*$F245)</x:f>
      </x:c>
      <x:c r="H245" s="18"/>
    </x:row>
    <x:row r="246" ht="15" hidden="0" customHeight="1">
      <x:c r="A246" s="22"/>
      <x:c r="B246" s="18"/>
      <x:c r="C246" s="18"/>
      <x:c r="D246" s="18" t="str">
        <x:f>IF($C246="","",XLOOKUP($C246,Products!$A$5:$A$34,Products!$B$5:$B$34,""))</x:f>
      </x:c>
      <x:c r="E246" s="18"/>
      <x:c r="F246" s="19" t="str">
        <x:f>IF($C246="","",XLOOKUP($C246,Products!$A$5:$A$34,Products!$E$5:$E$34,""))</x:f>
      </x:c>
      <x:c r="G246" s="19" t="str">
        <x:f>IF(OR($C246="",$E246=""),"",$E246*$F246)</x:f>
      </x:c>
      <x:c r="H246" s="18"/>
    </x:row>
    <x:row r="247" ht="15" hidden="0" customHeight="1">
      <x:c r="A247" s="22"/>
      <x:c r="B247" s="18"/>
      <x:c r="C247" s="18"/>
      <x:c r="D247" s="18" t="str">
        <x:f>IF($C247="","",XLOOKUP($C247,Products!$A$5:$A$34,Products!$B$5:$B$34,""))</x:f>
      </x:c>
      <x:c r="E247" s="18"/>
      <x:c r="F247" s="19" t="str">
        <x:f>IF($C247="","",XLOOKUP($C247,Products!$A$5:$A$34,Products!$E$5:$E$34,""))</x:f>
      </x:c>
      <x:c r="G247" s="19" t="str">
        <x:f>IF(OR($C247="",$E247=""),"",$E247*$F247)</x:f>
      </x:c>
      <x:c r="H247" s="18"/>
    </x:row>
    <x:row r="248" ht="15" hidden="0" customHeight="1">
      <x:c r="A248" s="22"/>
      <x:c r="B248" s="18"/>
      <x:c r="C248" s="18"/>
      <x:c r="D248" s="18" t="str">
        <x:f>IF($C248="","",XLOOKUP($C248,Products!$A$5:$A$34,Products!$B$5:$B$34,""))</x:f>
      </x:c>
      <x:c r="E248" s="18"/>
      <x:c r="F248" s="19" t="str">
        <x:f>IF($C248="","",XLOOKUP($C248,Products!$A$5:$A$34,Products!$E$5:$E$34,""))</x:f>
      </x:c>
      <x:c r="G248" s="19" t="str">
        <x:f>IF(OR($C248="",$E248=""),"",$E248*$F248)</x:f>
      </x:c>
      <x:c r="H248" s="18"/>
    </x:row>
    <x:row r="249" ht="15" hidden="0" customHeight="1">
      <x:c r="A249" s="22"/>
      <x:c r="B249" s="18"/>
      <x:c r="C249" s="18"/>
      <x:c r="D249" s="18" t="str">
        <x:f>IF($C249="","",XLOOKUP($C249,Products!$A$5:$A$34,Products!$B$5:$B$34,""))</x:f>
      </x:c>
      <x:c r="E249" s="18"/>
      <x:c r="F249" s="19" t="str">
        <x:f>IF($C249="","",XLOOKUP($C249,Products!$A$5:$A$34,Products!$E$5:$E$34,""))</x:f>
      </x:c>
      <x:c r="G249" s="19" t="str">
        <x:f>IF(OR($C249="",$E249=""),"",$E249*$F249)</x:f>
      </x:c>
      <x:c r="H249" s="18"/>
    </x:row>
    <x:row r="250" ht="15" hidden="0" customHeight="1">
      <x:c r="A250" s="22"/>
      <x:c r="B250" s="18"/>
      <x:c r="C250" s="18"/>
      <x:c r="D250" s="18" t="str">
        <x:f>IF($C250="","",XLOOKUP($C250,Products!$A$5:$A$34,Products!$B$5:$B$34,""))</x:f>
      </x:c>
      <x:c r="E250" s="18"/>
      <x:c r="F250" s="19" t="str">
        <x:f>IF($C250="","",XLOOKUP($C250,Products!$A$5:$A$34,Products!$E$5:$E$34,""))</x:f>
      </x:c>
      <x:c r="G250" s="19" t="str">
        <x:f>IF(OR($C250="",$E250=""),"",$E250*$F250)</x:f>
      </x:c>
      <x:c r="H250" s="18"/>
    </x:row>
    <x:row r="251" ht="15" hidden="0" customHeight="1">
      <x:c r="A251" s="22"/>
      <x:c r="B251" s="18"/>
      <x:c r="C251" s="18"/>
      <x:c r="D251" s="18" t="str">
        <x:f>IF($C251="","",XLOOKUP($C251,Products!$A$5:$A$34,Products!$B$5:$B$34,""))</x:f>
      </x:c>
      <x:c r="E251" s="18"/>
      <x:c r="F251" s="19" t="str">
        <x:f>IF($C251="","",XLOOKUP($C251,Products!$A$5:$A$34,Products!$E$5:$E$34,""))</x:f>
      </x:c>
      <x:c r="G251" s="19" t="str">
        <x:f>IF(OR($C251="",$E251=""),"",$E251*$F251)</x:f>
      </x:c>
      <x:c r="H251" s="18"/>
    </x:row>
    <x:row r="252" ht="15" hidden="0" customHeight="1">
      <x:c r="A252" s="22"/>
      <x:c r="B252" s="18"/>
      <x:c r="C252" s="18"/>
      <x:c r="D252" s="18" t="str">
        <x:f>IF($C252="","",XLOOKUP($C252,Products!$A$5:$A$34,Products!$B$5:$B$34,""))</x:f>
      </x:c>
      <x:c r="E252" s="18"/>
      <x:c r="F252" s="19" t="str">
        <x:f>IF($C252="","",XLOOKUP($C252,Products!$A$5:$A$34,Products!$E$5:$E$34,""))</x:f>
      </x:c>
      <x:c r="G252" s="19" t="str">
        <x:f>IF(OR($C252="",$E252=""),"",$E252*$F252)</x:f>
      </x:c>
      <x:c r="H252" s="18"/>
    </x:row>
    <x:row r="253" ht="15" hidden="0" customHeight="1">
      <x:c r="A253" s="22"/>
      <x:c r="B253" s="18"/>
      <x:c r="C253" s="18"/>
      <x:c r="D253" s="18" t="str">
        <x:f>IF($C253="","",XLOOKUP($C253,Products!$A$5:$A$34,Products!$B$5:$B$34,""))</x:f>
      </x:c>
      <x:c r="E253" s="18"/>
      <x:c r="F253" s="19" t="str">
        <x:f>IF($C253="","",XLOOKUP($C253,Products!$A$5:$A$34,Products!$E$5:$E$34,""))</x:f>
      </x:c>
      <x:c r="G253" s="19" t="str">
        <x:f>IF(OR($C253="",$E253=""),"",$E253*$F253)</x:f>
      </x:c>
      <x:c r="H253" s="18"/>
    </x:row>
    <x:row r="254" ht="15" hidden="0" customHeight="1">
      <x:c r="A254" s="22"/>
      <x:c r="B254" s="18"/>
      <x:c r="C254" s="18"/>
      <x:c r="D254" s="18" t="str">
        <x:f>IF($C254="","",XLOOKUP($C254,Products!$A$5:$A$34,Products!$B$5:$B$34,""))</x:f>
      </x:c>
      <x:c r="E254" s="18"/>
      <x:c r="F254" s="19" t="str">
        <x:f>IF($C254="","",XLOOKUP($C254,Products!$A$5:$A$34,Products!$E$5:$E$34,""))</x:f>
      </x:c>
      <x:c r="G254" s="19" t="str">
        <x:f>IF(OR($C254="",$E254=""),"",$E254*$F254)</x:f>
      </x:c>
      <x:c r="H254" s="18"/>
    </x:row>
    <x:row r="255" ht="15" hidden="0" customHeight="1">
      <x:c r="A255" s="22"/>
      <x:c r="B255" s="18"/>
      <x:c r="C255" s="18"/>
      <x:c r="D255" s="18" t="str">
        <x:f>IF($C255="","",XLOOKUP($C255,Products!$A$5:$A$34,Products!$B$5:$B$34,""))</x:f>
      </x:c>
      <x:c r="E255" s="18"/>
      <x:c r="F255" s="19" t="str">
        <x:f>IF($C255="","",XLOOKUP($C255,Products!$A$5:$A$34,Products!$E$5:$E$34,""))</x:f>
      </x:c>
      <x:c r="G255" s="19" t="str">
        <x:f>IF(OR($C255="",$E255=""),"",$E255*$F255)</x:f>
      </x:c>
      <x:c r="H255" s="18"/>
    </x:row>
    <x:row r="256" ht="15" hidden="0" customHeight="1">
      <x:c r="A256" s="22"/>
      <x:c r="B256" s="18"/>
      <x:c r="C256" s="18"/>
      <x:c r="D256" s="18" t="str">
        <x:f>IF($C256="","",XLOOKUP($C256,Products!$A$5:$A$34,Products!$B$5:$B$34,""))</x:f>
      </x:c>
      <x:c r="E256" s="18"/>
      <x:c r="F256" s="19" t="str">
        <x:f>IF($C256="","",XLOOKUP($C256,Products!$A$5:$A$34,Products!$E$5:$E$34,""))</x:f>
      </x:c>
      <x:c r="G256" s="19" t="str">
        <x:f>IF(OR($C256="",$E256=""),"",$E256*$F256)</x:f>
      </x:c>
      <x:c r="H256" s="18"/>
    </x:row>
    <x:row r="257" ht="15" hidden="0" customHeight="1">
      <x:c r="A257" s="22"/>
      <x:c r="B257" s="18"/>
      <x:c r="C257" s="18"/>
      <x:c r="D257" s="18" t="str">
        <x:f>IF($C257="","",XLOOKUP($C257,Products!$A$5:$A$34,Products!$B$5:$B$34,""))</x:f>
      </x:c>
      <x:c r="E257" s="18"/>
      <x:c r="F257" s="19" t="str">
        <x:f>IF($C257="","",XLOOKUP($C257,Products!$A$5:$A$34,Products!$E$5:$E$34,""))</x:f>
      </x:c>
      <x:c r="G257" s="19" t="str">
        <x:f>IF(OR($C257="",$E257=""),"",$E257*$F257)</x:f>
      </x:c>
      <x:c r="H257" s="18"/>
    </x:row>
    <x:row r="258" ht="15" hidden="0" customHeight="1">
      <x:c r="A258" s="22"/>
      <x:c r="B258" s="18"/>
      <x:c r="C258" s="18"/>
      <x:c r="D258" s="18" t="str">
        <x:f>IF($C258="","",XLOOKUP($C258,Products!$A$5:$A$34,Products!$B$5:$B$34,""))</x:f>
      </x:c>
      <x:c r="E258" s="18"/>
      <x:c r="F258" s="19" t="str">
        <x:f>IF($C258="","",XLOOKUP($C258,Products!$A$5:$A$34,Products!$E$5:$E$34,""))</x:f>
      </x:c>
      <x:c r="G258" s="19" t="str">
        <x:f>IF(OR($C258="",$E258=""),"",$E258*$F258)</x:f>
      </x:c>
      <x:c r="H258" s="18"/>
    </x:row>
    <x:row r="259" ht="15" hidden="0" customHeight="1">
      <x:c r="A259" s="22"/>
      <x:c r="B259" s="18"/>
      <x:c r="C259" s="18"/>
      <x:c r="D259" s="18" t="str">
        <x:f>IF($C259="","",XLOOKUP($C259,Products!$A$5:$A$34,Products!$B$5:$B$34,""))</x:f>
      </x:c>
      <x:c r="E259" s="18"/>
      <x:c r="F259" s="19" t="str">
        <x:f>IF($C259="","",XLOOKUP($C259,Products!$A$5:$A$34,Products!$E$5:$E$34,""))</x:f>
      </x:c>
      <x:c r="G259" s="19" t="str">
        <x:f>IF(OR($C259="",$E259=""),"",$E259*$F259)</x:f>
      </x:c>
      <x:c r="H259" s="18"/>
    </x:row>
    <x:row r="260" ht="15" hidden="0" customHeight="1">
      <x:c r="A260" s="22"/>
      <x:c r="B260" s="18"/>
      <x:c r="C260" s="18"/>
      <x:c r="D260" s="18" t="str">
        <x:f>IF($C260="","",XLOOKUP($C260,Products!$A$5:$A$34,Products!$B$5:$B$34,""))</x:f>
      </x:c>
      <x:c r="E260" s="18"/>
      <x:c r="F260" s="19" t="str">
        <x:f>IF($C260="","",XLOOKUP($C260,Products!$A$5:$A$34,Products!$E$5:$E$34,""))</x:f>
      </x:c>
      <x:c r="G260" s="19" t="str">
        <x:f>IF(OR($C260="",$E260=""),"",$E260*$F260)</x:f>
      </x:c>
      <x:c r="H260" s="18"/>
    </x:row>
    <x:row r="261" ht="15" hidden="0" customHeight="1">
      <x:c r="A261" s="22"/>
      <x:c r="B261" s="18"/>
      <x:c r="C261" s="18"/>
      <x:c r="D261" s="18" t="str">
        <x:f>IF($C261="","",XLOOKUP($C261,Products!$A$5:$A$34,Products!$B$5:$B$34,""))</x:f>
      </x:c>
      <x:c r="E261" s="18"/>
      <x:c r="F261" s="19" t="str">
        <x:f>IF($C261="","",XLOOKUP($C261,Products!$A$5:$A$34,Products!$E$5:$E$34,""))</x:f>
      </x:c>
      <x:c r="G261" s="19" t="str">
        <x:f>IF(OR($C261="",$E261=""),"",$E261*$F261)</x:f>
      </x:c>
      <x:c r="H261" s="18"/>
    </x:row>
    <x:row r="262" ht="15" hidden="0" customHeight="1">
      <x:c r="A262" s="22"/>
      <x:c r="B262" s="18"/>
      <x:c r="C262" s="18"/>
      <x:c r="D262" s="18" t="str">
        <x:f>IF($C262="","",XLOOKUP($C262,Products!$A$5:$A$34,Products!$B$5:$B$34,""))</x:f>
      </x:c>
      <x:c r="E262" s="18"/>
      <x:c r="F262" s="19" t="str">
        <x:f>IF($C262="","",XLOOKUP($C262,Products!$A$5:$A$34,Products!$E$5:$E$34,""))</x:f>
      </x:c>
      <x:c r="G262" s="19" t="str">
        <x:f>IF(OR($C262="",$E262=""),"",$E262*$F262)</x:f>
      </x:c>
      <x:c r="H262" s="18"/>
    </x:row>
    <x:row r="263" ht="15" hidden="0" customHeight="1">
      <x:c r="A263" s="22"/>
      <x:c r="B263" s="18"/>
      <x:c r="C263" s="18"/>
      <x:c r="D263" s="18" t="str">
        <x:f>IF($C263="","",XLOOKUP($C263,Products!$A$5:$A$34,Products!$B$5:$B$34,""))</x:f>
      </x:c>
      <x:c r="E263" s="18"/>
      <x:c r="F263" s="19" t="str">
        <x:f>IF($C263="","",XLOOKUP($C263,Products!$A$5:$A$34,Products!$E$5:$E$34,""))</x:f>
      </x:c>
      <x:c r="G263" s="19" t="str">
        <x:f>IF(OR($C263="",$E263=""),"",$E263*$F263)</x:f>
      </x:c>
      <x:c r="H263" s="18"/>
    </x:row>
    <x:row r="264" ht="15" hidden="0" customHeight="1">
      <x:c r="A264" s="22"/>
      <x:c r="B264" s="18"/>
      <x:c r="C264" s="18"/>
      <x:c r="D264" s="18" t="str">
        <x:f>IF($C264="","",XLOOKUP($C264,Products!$A$5:$A$34,Products!$B$5:$B$34,""))</x:f>
      </x:c>
      <x:c r="E264" s="18"/>
      <x:c r="F264" s="19" t="str">
        <x:f>IF($C264="","",XLOOKUP($C264,Products!$A$5:$A$34,Products!$E$5:$E$34,""))</x:f>
      </x:c>
      <x:c r="G264" s="19" t="str">
        <x:f>IF(OR($C264="",$E264=""),"",$E264*$F264)</x:f>
      </x:c>
      <x:c r="H264" s="18"/>
    </x:row>
    <x:row r="265" ht="15" hidden="0" customHeight="1">
      <x:c r="A265" s="22"/>
      <x:c r="B265" s="18"/>
      <x:c r="C265" s="18"/>
      <x:c r="D265" s="18" t="str">
        <x:f>IF($C265="","",XLOOKUP($C265,Products!$A$5:$A$34,Products!$B$5:$B$34,""))</x:f>
      </x:c>
      <x:c r="E265" s="18"/>
      <x:c r="F265" s="19" t="str">
        <x:f>IF($C265="","",XLOOKUP($C265,Products!$A$5:$A$34,Products!$E$5:$E$34,""))</x:f>
      </x:c>
      <x:c r="G265" s="19" t="str">
        <x:f>IF(OR($C265="",$E265=""),"",$E265*$F265)</x:f>
      </x:c>
      <x:c r="H265" s="18"/>
    </x:row>
    <x:row r="266" ht="15" hidden="0" customHeight="1">
      <x:c r="A266" s="22"/>
      <x:c r="B266" s="18"/>
      <x:c r="C266" s="18"/>
      <x:c r="D266" s="18" t="str">
        <x:f>IF($C266="","",XLOOKUP($C266,Products!$A$5:$A$34,Products!$B$5:$B$34,""))</x:f>
      </x:c>
      <x:c r="E266" s="18"/>
      <x:c r="F266" s="19" t="str">
        <x:f>IF($C266="","",XLOOKUP($C266,Products!$A$5:$A$34,Products!$E$5:$E$34,""))</x:f>
      </x:c>
      <x:c r="G266" s="19" t="str">
        <x:f>IF(OR($C266="",$E266=""),"",$E266*$F266)</x:f>
      </x:c>
      <x:c r="H266" s="18"/>
    </x:row>
    <x:row r="267" ht="15" hidden="0" customHeight="1">
      <x:c r="A267" s="22"/>
      <x:c r="B267" s="18"/>
      <x:c r="C267" s="18"/>
      <x:c r="D267" s="18" t="str">
        <x:f>IF($C267="","",XLOOKUP($C267,Products!$A$5:$A$34,Products!$B$5:$B$34,""))</x:f>
      </x:c>
      <x:c r="E267" s="18"/>
      <x:c r="F267" s="19" t="str">
        <x:f>IF($C267="","",XLOOKUP($C267,Products!$A$5:$A$34,Products!$E$5:$E$34,""))</x:f>
      </x:c>
      <x:c r="G267" s="19" t="str">
        <x:f>IF(OR($C267="",$E267=""),"",$E267*$F267)</x:f>
      </x:c>
      <x:c r="H267" s="18"/>
    </x:row>
    <x:row r="268" ht="15" hidden="0" customHeight="1">
      <x:c r="A268" s="22"/>
      <x:c r="B268" s="18"/>
      <x:c r="C268" s="18"/>
      <x:c r="D268" s="18" t="str">
        <x:f>IF($C268="","",XLOOKUP($C268,Products!$A$5:$A$34,Products!$B$5:$B$34,""))</x:f>
      </x:c>
      <x:c r="E268" s="18"/>
      <x:c r="F268" s="19" t="str">
        <x:f>IF($C268="","",XLOOKUP($C268,Products!$A$5:$A$34,Products!$E$5:$E$34,""))</x:f>
      </x:c>
      <x:c r="G268" s="19" t="str">
        <x:f>IF(OR($C268="",$E268=""),"",$E268*$F268)</x:f>
      </x:c>
      <x:c r="H268" s="18"/>
    </x:row>
    <x:row r="269" ht="15" hidden="0" customHeight="1">
      <x:c r="A269" s="22"/>
      <x:c r="B269" s="18"/>
      <x:c r="C269" s="18"/>
      <x:c r="D269" s="18" t="str">
        <x:f>IF($C269="","",XLOOKUP($C269,Products!$A$5:$A$34,Products!$B$5:$B$34,""))</x:f>
      </x:c>
      <x:c r="E269" s="18"/>
      <x:c r="F269" s="19" t="str">
        <x:f>IF($C269="","",XLOOKUP($C269,Products!$A$5:$A$34,Products!$E$5:$E$34,""))</x:f>
      </x:c>
      <x:c r="G269" s="19" t="str">
        <x:f>IF(OR($C269="",$E269=""),"",$E269*$F269)</x:f>
      </x:c>
      <x:c r="H269" s="18"/>
    </x:row>
    <x:row r="270" ht="15" hidden="0" customHeight="1">
      <x:c r="A270" s="22"/>
      <x:c r="B270" s="18"/>
      <x:c r="C270" s="18"/>
      <x:c r="D270" s="18" t="str">
        <x:f>IF($C270="","",XLOOKUP($C270,Products!$A$5:$A$34,Products!$B$5:$B$34,""))</x:f>
      </x:c>
      <x:c r="E270" s="18"/>
      <x:c r="F270" s="19" t="str">
        <x:f>IF($C270="","",XLOOKUP($C270,Products!$A$5:$A$34,Products!$E$5:$E$34,""))</x:f>
      </x:c>
      <x:c r="G270" s="19" t="str">
        <x:f>IF(OR($C270="",$E270=""),"",$E270*$F270)</x:f>
      </x:c>
      <x:c r="H270" s="18"/>
    </x:row>
    <x:row r="271" ht="15" hidden="0" customHeight="1">
      <x:c r="A271" s="22"/>
      <x:c r="B271" s="18"/>
      <x:c r="C271" s="18"/>
      <x:c r="D271" s="18" t="str">
        <x:f>IF($C271="","",XLOOKUP($C271,Products!$A$5:$A$34,Products!$B$5:$B$34,""))</x:f>
      </x:c>
      <x:c r="E271" s="18"/>
      <x:c r="F271" s="19" t="str">
        <x:f>IF($C271="","",XLOOKUP($C271,Products!$A$5:$A$34,Products!$E$5:$E$34,""))</x:f>
      </x:c>
      <x:c r="G271" s="19" t="str">
        <x:f>IF(OR($C271="",$E271=""),"",$E271*$F271)</x:f>
      </x:c>
      <x:c r="H271" s="18"/>
    </x:row>
    <x:row r="272" ht="15" hidden="0" customHeight="1">
      <x:c r="A272" s="22"/>
      <x:c r="B272" s="18"/>
      <x:c r="C272" s="18"/>
      <x:c r="D272" s="18" t="str">
        <x:f>IF($C272="","",XLOOKUP($C272,Products!$A$5:$A$34,Products!$B$5:$B$34,""))</x:f>
      </x:c>
      <x:c r="E272" s="18"/>
      <x:c r="F272" s="19" t="str">
        <x:f>IF($C272="","",XLOOKUP($C272,Products!$A$5:$A$34,Products!$E$5:$E$34,""))</x:f>
      </x:c>
      <x:c r="G272" s="19" t="str">
        <x:f>IF(OR($C272="",$E272=""),"",$E272*$F272)</x:f>
      </x:c>
      <x:c r="H272" s="18"/>
    </x:row>
    <x:row r="273" ht="15" hidden="0" customHeight="1">
      <x:c r="A273" s="22"/>
      <x:c r="B273" s="18"/>
      <x:c r="C273" s="18"/>
      <x:c r="D273" s="18" t="str">
        <x:f>IF($C273="","",XLOOKUP($C273,Products!$A$5:$A$34,Products!$B$5:$B$34,""))</x:f>
      </x:c>
      <x:c r="E273" s="18"/>
      <x:c r="F273" s="19" t="str">
        <x:f>IF($C273="","",XLOOKUP($C273,Products!$A$5:$A$34,Products!$E$5:$E$34,""))</x:f>
      </x:c>
      <x:c r="G273" s="19" t="str">
        <x:f>IF(OR($C273="",$E273=""),"",$E273*$F273)</x:f>
      </x:c>
      <x:c r="H273" s="18"/>
    </x:row>
    <x:row r="274" ht="15" hidden="0" customHeight="1">
      <x:c r="A274" s="22"/>
      <x:c r="B274" s="18"/>
      <x:c r="C274" s="18"/>
      <x:c r="D274" s="18" t="str">
        <x:f>IF($C274="","",XLOOKUP($C274,Products!$A$5:$A$34,Products!$B$5:$B$34,""))</x:f>
      </x:c>
      <x:c r="E274" s="18"/>
      <x:c r="F274" s="19" t="str">
        <x:f>IF($C274="","",XLOOKUP($C274,Products!$A$5:$A$34,Products!$E$5:$E$34,""))</x:f>
      </x:c>
      <x:c r="G274" s="19" t="str">
        <x:f>IF(OR($C274="",$E274=""),"",$E274*$F274)</x:f>
      </x:c>
      <x:c r="H274" s="18"/>
    </x:row>
    <x:row r="275" ht="15" hidden="0" customHeight="1">
      <x:c r="A275" s="22"/>
      <x:c r="B275" s="18"/>
      <x:c r="C275" s="18"/>
      <x:c r="D275" s="18" t="str">
        <x:f>IF($C275="","",XLOOKUP($C275,Products!$A$5:$A$34,Products!$B$5:$B$34,""))</x:f>
      </x:c>
      <x:c r="E275" s="18"/>
      <x:c r="F275" s="19" t="str">
        <x:f>IF($C275="","",XLOOKUP($C275,Products!$A$5:$A$34,Products!$E$5:$E$34,""))</x:f>
      </x:c>
      <x:c r="G275" s="19" t="str">
        <x:f>IF(OR($C275="",$E275=""),"",$E275*$F275)</x:f>
      </x:c>
      <x:c r="H275" s="18"/>
    </x:row>
    <x:row r="276" ht="15" hidden="0" customHeight="1">
      <x:c r="A276" s="22"/>
      <x:c r="B276" s="18"/>
      <x:c r="C276" s="18"/>
      <x:c r="D276" s="18" t="str">
        <x:f>IF($C276="","",XLOOKUP($C276,Products!$A$5:$A$34,Products!$B$5:$B$34,""))</x:f>
      </x:c>
      <x:c r="E276" s="18"/>
      <x:c r="F276" s="19" t="str">
        <x:f>IF($C276="","",XLOOKUP($C276,Products!$A$5:$A$34,Products!$E$5:$E$34,""))</x:f>
      </x:c>
      <x:c r="G276" s="19" t="str">
        <x:f>IF(OR($C276="",$E276=""),"",$E276*$F276)</x:f>
      </x:c>
      <x:c r="H276" s="18"/>
    </x:row>
    <x:row r="277" ht="15" hidden="0" customHeight="1">
      <x:c r="A277" s="22"/>
      <x:c r="B277" s="18"/>
      <x:c r="C277" s="18"/>
      <x:c r="D277" s="18" t="str">
        <x:f>IF($C277="","",XLOOKUP($C277,Products!$A$5:$A$34,Products!$B$5:$B$34,""))</x:f>
      </x:c>
      <x:c r="E277" s="18"/>
      <x:c r="F277" s="19" t="str">
        <x:f>IF($C277="","",XLOOKUP($C277,Products!$A$5:$A$34,Products!$E$5:$E$34,""))</x:f>
      </x:c>
      <x:c r="G277" s="19" t="str">
        <x:f>IF(OR($C277="",$E277=""),"",$E277*$F277)</x:f>
      </x:c>
      <x:c r="H277" s="18"/>
    </x:row>
    <x:row r="278" ht="15" hidden="0" customHeight="1">
      <x:c r="A278" s="22"/>
      <x:c r="B278" s="18"/>
      <x:c r="C278" s="18"/>
      <x:c r="D278" s="18" t="str">
        <x:f>IF($C278="","",XLOOKUP($C278,Products!$A$5:$A$34,Products!$B$5:$B$34,""))</x:f>
      </x:c>
      <x:c r="E278" s="18"/>
      <x:c r="F278" s="19" t="str">
        <x:f>IF($C278="","",XLOOKUP($C278,Products!$A$5:$A$34,Products!$E$5:$E$34,""))</x:f>
      </x:c>
      <x:c r="G278" s="19" t="str">
        <x:f>IF(OR($C278="",$E278=""),"",$E278*$F278)</x:f>
      </x:c>
      <x:c r="H278" s="18"/>
    </x:row>
    <x:row r="279" ht="15" hidden="0" customHeight="1">
      <x:c r="A279" s="22"/>
      <x:c r="B279" s="18"/>
      <x:c r="C279" s="18"/>
      <x:c r="D279" s="18" t="str">
        <x:f>IF($C279="","",XLOOKUP($C279,Products!$A$5:$A$34,Products!$B$5:$B$34,""))</x:f>
      </x:c>
      <x:c r="E279" s="18"/>
      <x:c r="F279" s="19" t="str">
        <x:f>IF($C279="","",XLOOKUP($C279,Products!$A$5:$A$34,Products!$E$5:$E$34,""))</x:f>
      </x:c>
      <x:c r="G279" s="19" t="str">
        <x:f>IF(OR($C279="",$E279=""),"",$E279*$F279)</x:f>
      </x:c>
      <x:c r="H279" s="18"/>
    </x:row>
    <x:row r="280" ht="15" hidden="0" customHeight="1">
      <x:c r="A280" s="22"/>
      <x:c r="B280" s="18"/>
      <x:c r="C280" s="18"/>
      <x:c r="D280" s="18" t="str">
        <x:f>IF($C280="","",XLOOKUP($C280,Products!$A$5:$A$34,Products!$B$5:$B$34,""))</x:f>
      </x:c>
      <x:c r="E280" s="18"/>
      <x:c r="F280" s="19" t="str">
        <x:f>IF($C280="","",XLOOKUP($C280,Products!$A$5:$A$34,Products!$E$5:$E$34,""))</x:f>
      </x:c>
      <x:c r="G280" s="19" t="str">
        <x:f>IF(OR($C280="",$E280=""),"",$E280*$F280)</x:f>
      </x:c>
      <x:c r="H280" s="18"/>
    </x:row>
    <x:row r="281" ht="15" hidden="0" customHeight="1">
      <x:c r="A281" s="22"/>
      <x:c r="B281" s="18"/>
      <x:c r="C281" s="18"/>
      <x:c r="D281" s="18" t="str">
        <x:f>IF($C281="","",XLOOKUP($C281,Products!$A$5:$A$34,Products!$B$5:$B$34,""))</x:f>
      </x:c>
      <x:c r="E281" s="18"/>
      <x:c r="F281" s="19" t="str">
        <x:f>IF($C281="","",XLOOKUP($C281,Products!$A$5:$A$34,Products!$E$5:$E$34,""))</x:f>
      </x:c>
      <x:c r="G281" s="19" t="str">
        <x:f>IF(OR($C281="",$E281=""),"",$E281*$F281)</x:f>
      </x:c>
      <x:c r="H281" s="18"/>
    </x:row>
    <x:row r="282" ht="15" hidden="0" customHeight="1">
      <x:c r="A282" s="22"/>
      <x:c r="B282" s="18"/>
      <x:c r="C282" s="18"/>
      <x:c r="D282" s="18" t="str">
        <x:f>IF($C282="","",XLOOKUP($C282,Products!$A$5:$A$34,Products!$B$5:$B$34,""))</x:f>
      </x:c>
      <x:c r="E282" s="18"/>
      <x:c r="F282" s="19" t="str">
        <x:f>IF($C282="","",XLOOKUP($C282,Products!$A$5:$A$34,Products!$E$5:$E$34,""))</x:f>
      </x:c>
      <x:c r="G282" s="19" t="str">
        <x:f>IF(OR($C282="",$E282=""),"",$E282*$F282)</x:f>
      </x:c>
      <x:c r="H282" s="18"/>
    </x:row>
    <x:row r="283" ht="15" hidden="0" customHeight="1">
      <x:c r="A283" s="22"/>
      <x:c r="B283" s="18"/>
      <x:c r="C283" s="18"/>
      <x:c r="D283" s="18" t="str">
        <x:f>IF($C283="","",XLOOKUP($C283,Products!$A$5:$A$34,Products!$B$5:$B$34,""))</x:f>
      </x:c>
      <x:c r="E283" s="18"/>
      <x:c r="F283" s="19" t="str">
        <x:f>IF($C283="","",XLOOKUP($C283,Products!$A$5:$A$34,Products!$E$5:$E$34,""))</x:f>
      </x:c>
      <x:c r="G283" s="19" t="str">
        <x:f>IF(OR($C283="",$E283=""),"",$E283*$F283)</x:f>
      </x:c>
      <x:c r="H283" s="18"/>
    </x:row>
    <x:row r="284" ht="15" hidden="0" customHeight="1">
      <x:c r="A284" s="22"/>
      <x:c r="B284" s="18"/>
      <x:c r="C284" s="18"/>
      <x:c r="D284" s="18" t="str">
        <x:f>IF($C284="","",XLOOKUP($C284,Products!$A$5:$A$34,Products!$B$5:$B$34,""))</x:f>
      </x:c>
      <x:c r="E284" s="18"/>
      <x:c r="F284" s="19" t="str">
        <x:f>IF($C284="","",XLOOKUP($C284,Products!$A$5:$A$34,Products!$E$5:$E$34,""))</x:f>
      </x:c>
      <x:c r="G284" s="19" t="str">
        <x:f>IF(OR($C284="",$E284=""),"",$E284*$F284)</x:f>
      </x:c>
      <x:c r="H284" s="18"/>
    </x:row>
    <x:row r="285" ht="15" hidden="0" customHeight="1">
      <x:c r="A285" s="22"/>
      <x:c r="B285" s="18"/>
      <x:c r="C285" s="18"/>
      <x:c r="D285" s="18" t="str">
        <x:f>IF($C285="","",XLOOKUP($C285,Products!$A$5:$A$34,Products!$B$5:$B$34,""))</x:f>
      </x:c>
      <x:c r="E285" s="18"/>
      <x:c r="F285" s="19" t="str">
        <x:f>IF($C285="","",XLOOKUP($C285,Products!$A$5:$A$34,Products!$E$5:$E$34,""))</x:f>
      </x:c>
      <x:c r="G285" s="19" t="str">
        <x:f>IF(OR($C285="",$E285=""),"",$E285*$F285)</x:f>
      </x:c>
      <x:c r="H285" s="18"/>
    </x:row>
    <x:row r="286" ht="15" hidden="0" customHeight="1">
      <x:c r="A286" s="22"/>
      <x:c r="B286" s="18"/>
      <x:c r="C286" s="18"/>
      <x:c r="D286" s="18" t="str">
        <x:f>IF($C286="","",XLOOKUP($C286,Products!$A$5:$A$34,Products!$B$5:$B$34,""))</x:f>
      </x:c>
      <x:c r="E286" s="18"/>
      <x:c r="F286" s="19" t="str">
        <x:f>IF($C286="","",XLOOKUP($C286,Products!$A$5:$A$34,Products!$E$5:$E$34,""))</x:f>
      </x:c>
      <x:c r="G286" s="19" t="str">
        <x:f>IF(OR($C286="",$E286=""),"",$E286*$F286)</x:f>
      </x:c>
      <x:c r="H286" s="18"/>
    </x:row>
    <x:row r="287" ht="15" hidden="0" customHeight="1">
      <x:c r="A287" s="22"/>
      <x:c r="B287" s="18"/>
      <x:c r="C287" s="18"/>
      <x:c r="D287" s="18" t="str">
        <x:f>IF($C287="","",XLOOKUP($C287,Products!$A$5:$A$34,Products!$B$5:$B$34,""))</x:f>
      </x:c>
      <x:c r="E287" s="18"/>
      <x:c r="F287" s="19" t="str">
        <x:f>IF($C287="","",XLOOKUP($C287,Products!$A$5:$A$34,Products!$E$5:$E$34,""))</x:f>
      </x:c>
      <x:c r="G287" s="19" t="str">
        <x:f>IF(OR($C287="",$E287=""),"",$E287*$F287)</x:f>
      </x:c>
      <x:c r="H287" s="18"/>
    </x:row>
    <x:row r="288" ht="15" hidden="0" customHeight="1">
      <x:c r="A288" s="22"/>
      <x:c r="B288" s="18"/>
      <x:c r="C288" s="18"/>
      <x:c r="D288" s="18" t="str">
        <x:f>IF($C288="","",XLOOKUP($C288,Products!$A$5:$A$34,Products!$B$5:$B$34,""))</x:f>
      </x:c>
      <x:c r="E288" s="18"/>
      <x:c r="F288" s="19" t="str">
        <x:f>IF($C288="","",XLOOKUP($C288,Products!$A$5:$A$34,Products!$E$5:$E$34,""))</x:f>
      </x:c>
      <x:c r="G288" s="19" t="str">
        <x:f>IF(OR($C288="",$E288=""),"",$E288*$F288)</x:f>
      </x:c>
      <x:c r="H288" s="18"/>
    </x:row>
    <x:row r="289" ht="15" hidden="0" customHeight="1">
      <x:c r="A289" s="22"/>
      <x:c r="B289" s="18"/>
      <x:c r="C289" s="18"/>
      <x:c r="D289" s="18" t="str">
        <x:f>IF($C289="","",XLOOKUP($C289,Products!$A$5:$A$34,Products!$B$5:$B$34,""))</x:f>
      </x:c>
      <x:c r="E289" s="18"/>
      <x:c r="F289" s="19" t="str">
        <x:f>IF($C289="","",XLOOKUP($C289,Products!$A$5:$A$34,Products!$E$5:$E$34,""))</x:f>
      </x:c>
      <x:c r="G289" s="19" t="str">
        <x:f>IF(OR($C289="",$E289=""),"",$E289*$F289)</x:f>
      </x:c>
      <x:c r="H289" s="18"/>
    </x:row>
    <x:row r="290" ht="15" hidden="0" customHeight="1">
      <x:c r="A290" s="22"/>
      <x:c r="B290" s="18"/>
      <x:c r="C290" s="18"/>
      <x:c r="D290" s="18" t="str">
        <x:f>IF($C290="","",XLOOKUP($C290,Products!$A$5:$A$34,Products!$B$5:$B$34,""))</x:f>
      </x:c>
      <x:c r="E290" s="18"/>
      <x:c r="F290" s="19" t="str">
        <x:f>IF($C290="","",XLOOKUP($C290,Products!$A$5:$A$34,Products!$E$5:$E$34,""))</x:f>
      </x:c>
      <x:c r="G290" s="19" t="str">
        <x:f>IF(OR($C290="",$E290=""),"",$E290*$F290)</x:f>
      </x:c>
      <x:c r="H290" s="18"/>
    </x:row>
    <x:row r="291" ht="15" hidden="0" customHeight="1">
      <x:c r="A291" s="22"/>
      <x:c r="B291" s="18"/>
      <x:c r="C291" s="18"/>
      <x:c r="D291" s="18" t="str">
        <x:f>IF($C291="","",XLOOKUP($C291,Products!$A$5:$A$34,Products!$B$5:$B$34,""))</x:f>
      </x:c>
      <x:c r="E291" s="18"/>
      <x:c r="F291" s="19" t="str">
        <x:f>IF($C291="","",XLOOKUP($C291,Products!$A$5:$A$34,Products!$E$5:$E$34,""))</x:f>
      </x:c>
      <x:c r="G291" s="19" t="str">
        <x:f>IF(OR($C291="",$E291=""),"",$E291*$F291)</x:f>
      </x:c>
      <x:c r="H291" s="18"/>
    </x:row>
    <x:row r="292" ht="15" hidden="0" customHeight="1">
      <x:c r="A292" s="22"/>
      <x:c r="B292" s="18"/>
      <x:c r="C292" s="18"/>
      <x:c r="D292" s="18" t="str">
        <x:f>IF($C292="","",XLOOKUP($C292,Products!$A$5:$A$34,Products!$B$5:$B$34,""))</x:f>
      </x:c>
      <x:c r="E292" s="18"/>
      <x:c r="F292" s="19" t="str">
        <x:f>IF($C292="","",XLOOKUP($C292,Products!$A$5:$A$34,Products!$E$5:$E$34,""))</x:f>
      </x:c>
      <x:c r="G292" s="19" t="str">
        <x:f>IF(OR($C292="",$E292=""),"",$E292*$F292)</x:f>
      </x:c>
      <x:c r="H292" s="18"/>
    </x:row>
    <x:row r="293" ht="15" hidden="0" customHeight="1">
      <x:c r="A293" s="22"/>
      <x:c r="B293" s="18"/>
      <x:c r="C293" s="18"/>
      <x:c r="D293" s="18" t="str">
        <x:f>IF($C293="","",XLOOKUP($C293,Products!$A$5:$A$34,Products!$B$5:$B$34,""))</x:f>
      </x:c>
      <x:c r="E293" s="18"/>
      <x:c r="F293" s="19" t="str">
        <x:f>IF($C293="","",XLOOKUP($C293,Products!$A$5:$A$34,Products!$E$5:$E$34,""))</x:f>
      </x:c>
      <x:c r="G293" s="19" t="str">
        <x:f>IF(OR($C293="",$E293=""),"",$E293*$F293)</x:f>
      </x:c>
      <x:c r="H293" s="18"/>
    </x:row>
    <x:row r="294" ht="15" hidden="0" customHeight="1">
      <x:c r="A294" s="22"/>
      <x:c r="B294" s="18"/>
      <x:c r="C294" s="18"/>
      <x:c r="D294" s="18" t="str">
        <x:f>IF($C294="","",XLOOKUP($C294,Products!$A$5:$A$34,Products!$B$5:$B$34,""))</x:f>
      </x:c>
      <x:c r="E294" s="18"/>
      <x:c r="F294" s="19" t="str">
        <x:f>IF($C294="","",XLOOKUP($C294,Products!$A$5:$A$34,Products!$E$5:$E$34,""))</x:f>
      </x:c>
      <x:c r="G294" s="19" t="str">
        <x:f>IF(OR($C294="",$E294=""),"",$E294*$F294)</x:f>
      </x:c>
      <x:c r="H294" s="18"/>
    </x:row>
    <x:row r="295" ht="15" hidden="0" customHeight="1">
      <x:c r="A295" s="22"/>
      <x:c r="B295" s="18"/>
      <x:c r="C295" s="18"/>
      <x:c r="D295" s="18" t="str">
        <x:f>IF($C295="","",XLOOKUP($C295,Products!$A$5:$A$34,Products!$B$5:$B$34,""))</x:f>
      </x:c>
      <x:c r="E295" s="18"/>
      <x:c r="F295" s="19" t="str">
        <x:f>IF($C295="","",XLOOKUP($C295,Products!$A$5:$A$34,Products!$E$5:$E$34,""))</x:f>
      </x:c>
      <x:c r="G295" s="19" t="str">
        <x:f>IF(OR($C295="",$E295=""),"",$E295*$F295)</x:f>
      </x:c>
      <x:c r="H295" s="18"/>
    </x:row>
    <x:row r="296" ht="15" hidden="0" customHeight="1">
      <x:c r="A296" s="22"/>
      <x:c r="B296" s="18"/>
      <x:c r="C296" s="18"/>
      <x:c r="D296" s="18" t="str">
        <x:f>IF($C296="","",XLOOKUP($C296,Products!$A$5:$A$34,Products!$B$5:$B$34,""))</x:f>
      </x:c>
      <x:c r="E296" s="18"/>
      <x:c r="F296" s="19" t="str">
        <x:f>IF($C296="","",XLOOKUP($C296,Products!$A$5:$A$34,Products!$E$5:$E$34,""))</x:f>
      </x:c>
      <x:c r="G296" s="19" t="str">
        <x:f>IF(OR($C296="",$E296=""),"",$E296*$F296)</x:f>
      </x:c>
      <x:c r="H296" s="18"/>
    </x:row>
    <x:row r="297" ht="15" hidden="0" customHeight="1">
      <x:c r="A297" s="22"/>
      <x:c r="B297" s="18"/>
      <x:c r="C297" s="18"/>
      <x:c r="D297" s="18" t="str">
        <x:f>IF($C297="","",XLOOKUP($C297,Products!$A$5:$A$34,Products!$B$5:$B$34,""))</x:f>
      </x:c>
      <x:c r="E297" s="18"/>
      <x:c r="F297" s="19" t="str">
        <x:f>IF($C297="","",XLOOKUP($C297,Products!$A$5:$A$34,Products!$E$5:$E$34,""))</x:f>
      </x:c>
      <x:c r="G297" s="19" t="str">
        <x:f>IF(OR($C297="",$E297=""),"",$E297*$F297)</x:f>
      </x:c>
      <x:c r="H297" s="18"/>
    </x:row>
    <x:row r="298" ht="15" hidden="0" customHeight="1">
      <x:c r="A298" s="22"/>
      <x:c r="B298" s="18"/>
      <x:c r="C298" s="18"/>
      <x:c r="D298" s="18" t="str">
        <x:f>IF($C298="","",XLOOKUP($C298,Products!$A$5:$A$34,Products!$B$5:$B$34,""))</x:f>
      </x:c>
      <x:c r="E298" s="18"/>
      <x:c r="F298" s="19" t="str">
        <x:f>IF($C298="","",XLOOKUP($C298,Products!$A$5:$A$34,Products!$E$5:$E$34,""))</x:f>
      </x:c>
      <x:c r="G298" s="19" t="str">
        <x:f>IF(OR($C298="",$E298=""),"",$E298*$F298)</x:f>
      </x:c>
      <x:c r="H298" s="18"/>
    </x:row>
    <x:row r="299" ht="15" hidden="0" customHeight="1">
      <x:c r="A299" s="22"/>
      <x:c r="B299" s="18"/>
      <x:c r="C299" s="18"/>
      <x:c r="D299" s="18" t="str">
        <x:f>IF($C299="","",XLOOKUP($C299,Products!$A$5:$A$34,Products!$B$5:$B$34,""))</x:f>
      </x:c>
      <x:c r="E299" s="18"/>
      <x:c r="F299" s="19" t="str">
        <x:f>IF($C299="","",XLOOKUP($C299,Products!$A$5:$A$34,Products!$E$5:$E$34,""))</x:f>
      </x:c>
      <x:c r="G299" s="19" t="str">
        <x:f>IF(OR($C299="",$E299=""),"",$E299*$F299)</x:f>
      </x:c>
      <x:c r="H299" s="18"/>
    </x:row>
    <x:row r="300" ht="15" hidden="0" customHeight="1">
      <x:c r="A300" s="22"/>
      <x:c r="B300" s="18"/>
      <x:c r="C300" s="18"/>
      <x:c r="D300" s="18" t="str">
        <x:f>IF($C300="","",XLOOKUP($C300,Products!$A$5:$A$34,Products!$B$5:$B$34,""))</x:f>
      </x:c>
      <x:c r="E300" s="18"/>
      <x:c r="F300" s="19" t="str">
        <x:f>IF($C300="","",XLOOKUP($C300,Products!$A$5:$A$34,Products!$E$5:$E$34,""))</x:f>
      </x:c>
      <x:c r="G300" s="19" t="str">
        <x:f>IF(OR($C300="",$E300=""),"",$E300*$F300)</x:f>
      </x:c>
      <x:c r="H300" s="18"/>
    </x:row>
    <x:row r="301" ht="15" hidden="0" customHeight="1">
      <x:c r="A301" s="22"/>
      <x:c r="B301" s="18"/>
      <x:c r="C301" s="18"/>
      <x:c r="D301" s="18" t="str">
        <x:f>IF($C301="","",XLOOKUP($C301,Products!$A$5:$A$34,Products!$B$5:$B$34,""))</x:f>
      </x:c>
      <x:c r="E301" s="18"/>
      <x:c r="F301" s="19" t="str">
        <x:f>IF($C301="","",XLOOKUP($C301,Products!$A$5:$A$34,Products!$E$5:$E$34,""))</x:f>
      </x:c>
      <x:c r="G301" s="19" t="str">
        <x:f>IF(OR($C301="",$E301=""),"",$E301*$F301)</x:f>
      </x:c>
      <x:c r="H301" s="18"/>
    </x:row>
    <x:row r="302" ht="15" hidden="0" customHeight="1">
      <x:c r="A302" s="22"/>
      <x:c r="B302" s="18"/>
      <x:c r="C302" s="18"/>
      <x:c r="D302" s="18" t="str">
        <x:f>IF($C302="","",XLOOKUP($C302,Products!$A$5:$A$34,Products!$B$5:$B$34,""))</x:f>
      </x:c>
      <x:c r="E302" s="18"/>
      <x:c r="F302" s="19" t="str">
        <x:f>IF($C302="","",XLOOKUP($C302,Products!$A$5:$A$34,Products!$E$5:$E$34,""))</x:f>
      </x:c>
      <x:c r="G302" s="19" t="str">
        <x:f>IF(OR($C302="",$E302=""),"",$E302*$F302)</x:f>
      </x:c>
      <x:c r="H302" s="18"/>
    </x:row>
    <x:row r="303" ht="15" hidden="0" customHeight="1">
      <x:c r="A303" s="22"/>
      <x:c r="B303" s="18"/>
      <x:c r="C303" s="18"/>
      <x:c r="D303" s="18" t="str">
        <x:f>IF($C303="","",XLOOKUP($C303,Products!$A$5:$A$34,Products!$B$5:$B$34,""))</x:f>
      </x:c>
      <x:c r="E303" s="18"/>
      <x:c r="F303" s="19" t="str">
        <x:f>IF($C303="","",XLOOKUP($C303,Products!$A$5:$A$34,Products!$E$5:$E$34,""))</x:f>
      </x:c>
      <x:c r="G303" s="19" t="str">
        <x:f>IF(OR($C303="",$E303=""),"",$E303*$F303)</x:f>
      </x:c>
      <x:c r="H303" s="18"/>
    </x:row>
    <x:row r="304" ht="15" hidden="0" customHeight="1">
      <x:c r="A304" s="22"/>
      <x:c r="B304" s="18"/>
      <x:c r="C304" s="18"/>
      <x:c r="D304" s="18" t="str">
        <x:f>IF($C304="","",XLOOKUP($C304,Products!$A$5:$A$34,Products!$B$5:$B$34,""))</x:f>
      </x:c>
      <x:c r="E304" s="18"/>
      <x:c r="F304" s="19" t="str">
        <x:f>IF($C304="","",XLOOKUP($C304,Products!$A$5:$A$34,Products!$E$5:$E$34,""))</x:f>
      </x:c>
      <x:c r="G304" s="19" t="str">
        <x:f>IF(OR($C304="",$E304=""),"",$E304*$F304)</x:f>
      </x:c>
      <x:c r="H304" s="18"/>
    </x:row>
    <x:row r="305" ht="15" hidden="0" customHeight="1">
      <x:c r="A305" s="22"/>
      <x:c r="B305" s="18"/>
      <x:c r="C305" s="18"/>
      <x:c r="D305" s="18" t="str">
        <x:f>IF($C305="","",XLOOKUP($C305,Products!$A$5:$A$34,Products!$B$5:$B$34,""))</x:f>
      </x:c>
      <x:c r="E305" s="18"/>
      <x:c r="F305" s="19" t="str">
        <x:f>IF($C305="","",XLOOKUP($C305,Products!$A$5:$A$34,Products!$E$5:$E$34,""))</x:f>
      </x:c>
      <x:c r="G305" s="19" t="str">
        <x:f>IF(OR($C305="",$E305=""),"",$E305*$F305)</x:f>
      </x:c>
      <x:c r="H305" s="18"/>
    </x:row>
    <x:row r="306" ht="15" hidden="0" customHeight="1">
      <x:c r="A306" s="22"/>
      <x:c r="B306" s="18"/>
      <x:c r="C306" s="18"/>
      <x:c r="D306" s="18" t="str">
        <x:f>IF($C306="","",XLOOKUP($C306,Products!$A$5:$A$34,Products!$B$5:$B$34,""))</x:f>
      </x:c>
      <x:c r="E306" s="18"/>
      <x:c r="F306" s="19" t="str">
        <x:f>IF($C306="","",XLOOKUP($C306,Products!$A$5:$A$34,Products!$E$5:$E$34,""))</x:f>
      </x:c>
      <x:c r="G306" s="19" t="str">
        <x:f>IF(OR($C306="",$E306=""),"",$E306*$F306)</x:f>
      </x:c>
      <x:c r="H306" s="18"/>
    </x:row>
    <x:row r="307" ht="15" hidden="0" customHeight="1">
      <x:c r="A307" s="22"/>
      <x:c r="B307" s="18"/>
      <x:c r="C307" s="18"/>
      <x:c r="D307" s="18" t="str">
        <x:f>IF($C307="","",XLOOKUP($C307,Products!$A$5:$A$34,Products!$B$5:$B$34,""))</x:f>
      </x:c>
      <x:c r="E307" s="18"/>
      <x:c r="F307" s="19" t="str">
        <x:f>IF($C307="","",XLOOKUP($C307,Products!$A$5:$A$34,Products!$E$5:$E$34,""))</x:f>
      </x:c>
      <x:c r="G307" s="19" t="str">
        <x:f>IF(OR($C307="",$E307=""),"",$E307*$F307)</x:f>
      </x:c>
      <x:c r="H307" s="18"/>
    </x:row>
    <x:row r="308" ht="15" hidden="0" customHeight="1">
      <x:c r="A308" s="22"/>
      <x:c r="B308" s="18"/>
      <x:c r="C308" s="18"/>
      <x:c r="D308" s="18" t="str">
        <x:f>IF($C308="","",XLOOKUP($C308,Products!$A$5:$A$34,Products!$B$5:$B$34,""))</x:f>
      </x:c>
      <x:c r="E308" s="18"/>
      <x:c r="F308" s="19" t="str">
        <x:f>IF($C308="","",XLOOKUP($C308,Products!$A$5:$A$34,Products!$E$5:$E$34,""))</x:f>
      </x:c>
      <x:c r="G308" s="19" t="str">
        <x:f>IF(OR($C308="",$E308=""),"",$E308*$F308)</x:f>
      </x:c>
      <x:c r="H308" s="18"/>
    </x:row>
    <x:row r="309" ht="15" hidden="0" customHeight="1">
      <x:c r="A309" s="22"/>
      <x:c r="B309" s="18"/>
      <x:c r="C309" s="18"/>
      <x:c r="D309" s="18" t="str">
        <x:f>IF($C309="","",XLOOKUP($C309,Products!$A$5:$A$34,Products!$B$5:$B$34,""))</x:f>
      </x:c>
      <x:c r="E309" s="18"/>
      <x:c r="F309" s="19" t="str">
        <x:f>IF($C309="","",XLOOKUP($C309,Products!$A$5:$A$34,Products!$E$5:$E$34,""))</x:f>
      </x:c>
      <x:c r="G309" s="19" t="str">
        <x:f>IF(OR($C309="",$E309=""),"",$E309*$F309)</x:f>
      </x:c>
      <x:c r="H309" s="18"/>
    </x:row>
    <x:row r="310" ht="15" hidden="0" customHeight="1">
      <x:c r="A310" s="22"/>
      <x:c r="B310" s="18"/>
      <x:c r="C310" s="18"/>
      <x:c r="D310" s="18" t="str">
        <x:f>IF($C310="","",XLOOKUP($C310,Products!$A$5:$A$34,Products!$B$5:$B$34,""))</x:f>
      </x:c>
      <x:c r="E310" s="18"/>
      <x:c r="F310" s="19" t="str">
        <x:f>IF($C310="","",XLOOKUP($C310,Products!$A$5:$A$34,Products!$E$5:$E$34,""))</x:f>
      </x:c>
      <x:c r="G310" s="19" t="str">
        <x:f>IF(OR($C310="",$E310=""),"",$E310*$F310)</x:f>
      </x:c>
      <x:c r="H310" s="18"/>
    </x:row>
    <x:row r="311" ht="15" hidden="0" customHeight="1">
      <x:c r="A311" s="22"/>
      <x:c r="B311" s="18"/>
      <x:c r="C311" s="18"/>
      <x:c r="D311" s="18" t="str">
        <x:f>IF($C311="","",XLOOKUP($C311,Products!$A$5:$A$34,Products!$B$5:$B$34,""))</x:f>
      </x:c>
      <x:c r="E311" s="18"/>
      <x:c r="F311" s="19" t="str">
        <x:f>IF($C311="","",XLOOKUP($C311,Products!$A$5:$A$34,Products!$E$5:$E$34,""))</x:f>
      </x:c>
      <x:c r="G311" s="19" t="str">
        <x:f>IF(OR($C311="",$E311=""),"",$E311*$F311)</x:f>
      </x:c>
      <x:c r="H311" s="18"/>
    </x:row>
    <x:row r="312" ht="15" hidden="0" customHeight="1">
      <x:c r="A312" s="22"/>
      <x:c r="B312" s="18"/>
      <x:c r="C312" s="18"/>
      <x:c r="D312" s="18" t="str">
        <x:f>IF($C312="","",XLOOKUP($C312,Products!$A$5:$A$34,Products!$B$5:$B$34,""))</x:f>
      </x:c>
      <x:c r="E312" s="18"/>
      <x:c r="F312" s="19" t="str">
        <x:f>IF($C312="","",XLOOKUP($C312,Products!$A$5:$A$34,Products!$E$5:$E$34,""))</x:f>
      </x:c>
      <x:c r="G312" s="19" t="str">
        <x:f>IF(OR($C312="",$E312=""),"",$E312*$F312)</x:f>
      </x:c>
      <x:c r="H312" s="18"/>
    </x:row>
    <x:row r="313" ht="15" hidden="0" customHeight="1">
      <x:c r="A313" s="22"/>
      <x:c r="B313" s="18"/>
      <x:c r="C313" s="18"/>
      <x:c r="D313" s="18" t="str">
        <x:f>IF($C313="","",XLOOKUP($C313,Products!$A$5:$A$34,Products!$B$5:$B$34,""))</x:f>
      </x:c>
      <x:c r="E313" s="18"/>
      <x:c r="F313" s="19" t="str">
        <x:f>IF($C313="","",XLOOKUP($C313,Products!$A$5:$A$34,Products!$E$5:$E$34,""))</x:f>
      </x:c>
      <x:c r="G313" s="19" t="str">
        <x:f>IF(OR($C313="",$E313=""),"",$E313*$F313)</x:f>
      </x:c>
      <x:c r="H313" s="18"/>
    </x:row>
    <x:row r="314" ht="15" hidden="0" customHeight="1">
      <x:c r="A314" s="22"/>
      <x:c r="B314" s="18"/>
      <x:c r="C314" s="18"/>
      <x:c r="D314" s="18" t="str">
        <x:f>IF($C314="","",XLOOKUP($C314,Products!$A$5:$A$34,Products!$B$5:$B$34,""))</x:f>
      </x:c>
      <x:c r="E314" s="18"/>
      <x:c r="F314" s="19" t="str">
        <x:f>IF($C314="","",XLOOKUP($C314,Products!$A$5:$A$34,Products!$E$5:$E$34,""))</x:f>
      </x:c>
      <x:c r="G314" s="19" t="str">
        <x:f>IF(OR($C314="",$E314=""),"",$E314*$F314)</x:f>
      </x:c>
      <x:c r="H314" s="18"/>
    </x:row>
    <x:row r="315" ht="15" hidden="0" customHeight="1">
      <x:c r="A315" s="22"/>
      <x:c r="B315" s="18"/>
      <x:c r="C315" s="18"/>
      <x:c r="D315" s="18" t="str">
        <x:f>IF($C315="","",XLOOKUP($C315,Products!$A$5:$A$34,Products!$B$5:$B$34,""))</x:f>
      </x:c>
      <x:c r="E315" s="18"/>
      <x:c r="F315" s="19" t="str">
        <x:f>IF($C315="","",XLOOKUP($C315,Products!$A$5:$A$34,Products!$E$5:$E$34,""))</x:f>
      </x:c>
      <x:c r="G315" s="19" t="str">
        <x:f>IF(OR($C315="",$E315=""),"",$E315*$F315)</x:f>
      </x:c>
      <x:c r="H315" s="18"/>
    </x:row>
    <x:row r="316" ht="15" hidden="0" customHeight="1">
      <x:c r="A316" s="22"/>
      <x:c r="B316" s="18"/>
      <x:c r="C316" s="18"/>
      <x:c r="D316" s="18" t="str">
        <x:f>IF($C316="","",XLOOKUP($C316,Products!$A$5:$A$34,Products!$B$5:$B$34,""))</x:f>
      </x:c>
      <x:c r="E316" s="18"/>
      <x:c r="F316" s="19" t="str">
        <x:f>IF($C316="","",XLOOKUP($C316,Products!$A$5:$A$34,Products!$E$5:$E$34,""))</x:f>
      </x:c>
      <x:c r="G316" s="19" t="str">
        <x:f>IF(OR($C316="",$E316=""),"",$E316*$F316)</x:f>
      </x:c>
      <x:c r="H316" s="18"/>
    </x:row>
    <x:row r="317" ht="15" hidden="0" customHeight="1">
      <x:c r="A317" s="22"/>
      <x:c r="B317" s="18"/>
      <x:c r="C317" s="18"/>
      <x:c r="D317" s="18" t="str">
        <x:f>IF($C317="","",XLOOKUP($C317,Products!$A$5:$A$34,Products!$B$5:$B$34,""))</x:f>
      </x:c>
      <x:c r="E317" s="18"/>
      <x:c r="F317" s="19" t="str">
        <x:f>IF($C317="","",XLOOKUP($C317,Products!$A$5:$A$34,Products!$E$5:$E$34,""))</x:f>
      </x:c>
      <x:c r="G317" s="19" t="str">
        <x:f>IF(OR($C317="",$E317=""),"",$E317*$F317)</x:f>
      </x:c>
      <x:c r="H317" s="18"/>
    </x:row>
    <x:row r="318" ht="15" hidden="0" customHeight="1">
      <x:c r="A318" s="22"/>
      <x:c r="B318" s="18"/>
      <x:c r="C318" s="18"/>
      <x:c r="D318" s="18" t="str">
        <x:f>IF($C318="","",XLOOKUP($C318,Products!$A$5:$A$34,Products!$B$5:$B$34,""))</x:f>
      </x:c>
      <x:c r="E318" s="18"/>
      <x:c r="F318" s="19" t="str">
        <x:f>IF($C318="","",XLOOKUP($C318,Products!$A$5:$A$34,Products!$E$5:$E$34,""))</x:f>
      </x:c>
      <x:c r="G318" s="19" t="str">
        <x:f>IF(OR($C318="",$E318=""),"",$E318*$F318)</x:f>
      </x:c>
      <x:c r="H318" s="18"/>
    </x:row>
    <x:row r="319" ht="15" hidden="0" customHeight="1">
      <x:c r="A319" s="22"/>
      <x:c r="B319" s="18"/>
      <x:c r="C319" s="18"/>
      <x:c r="D319" s="18" t="str">
        <x:f>IF($C319="","",XLOOKUP($C319,Products!$A$5:$A$34,Products!$B$5:$B$34,""))</x:f>
      </x:c>
      <x:c r="E319" s="18"/>
      <x:c r="F319" s="19" t="str">
        <x:f>IF($C319="","",XLOOKUP($C319,Products!$A$5:$A$34,Products!$E$5:$E$34,""))</x:f>
      </x:c>
      <x:c r="G319" s="19" t="str">
        <x:f>IF(OR($C319="",$E319=""),"",$E319*$F319)</x:f>
      </x:c>
      <x:c r="H319" s="18"/>
    </x:row>
    <x:row r="320" ht="15" hidden="0" customHeight="1">
      <x:c r="A320" s="22"/>
      <x:c r="B320" s="18"/>
      <x:c r="C320" s="18"/>
      <x:c r="D320" s="18" t="str">
        <x:f>IF($C320="","",XLOOKUP($C320,Products!$A$5:$A$34,Products!$B$5:$B$34,""))</x:f>
      </x:c>
      <x:c r="E320" s="18"/>
      <x:c r="F320" s="19" t="str">
        <x:f>IF($C320="","",XLOOKUP($C320,Products!$A$5:$A$34,Products!$E$5:$E$34,""))</x:f>
      </x:c>
      <x:c r="G320" s="19" t="str">
        <x:f>IF(OR($C320="",$E320=""),"",$E320*$F320)</x:f>
      </x:c>
      <x:c r="H320" s="18"/>
    </x:row>
    <x:row r="321" ht="15" hidden="0" customHeight="1">
      <x:c r="A321" s="22"/>
      <x:c r="B321" s="18"/>
      <x:c r="C321" s="18"/>
      <x:c r="D321" s="18" t="str">
        <x:f>IF($C321="","",XLOOKUP($C321,Products!$A$5:$A$34,Products!$B$5:$B$34,""))</x:f>
      </x:c>
      <x:c r="E321" s="18"/>
      <x:c r="F321" s="19" t="str">
        <x:f>IF($C321="","",XLOOKUP($C321,Products!$A$5:$A$34,Products!$E$5:$E$34,""))</x:f>
      </x:c>
      <x:c r="G321" s="19" t="str">
        <x:f>IF(OR($C321="",$E321=""),"",$E321*$F321)</x:f>
      </x:c>
      <x:c r="H321" s="18"/>
    </x:row>
    <x:row r="322" ht="15" hidden="0" customHeight="1">
      <x:c r="A322" s="22"/>
      <x:c r="B322" s="18"/>
      <x:c r="C322" s="18"/>
      <x:c r="D322" s="18" t="str">
        <x:f>IF($C322="","",XLOOKUP($C322,Products!$A$5:$A$34,Products!$B$5:$B$34,""))</x:f>
      </x:c>
      <x:c r="E322" s="18"/>
      <x:c r="F322" s="19" t="str">
        <x:f>IF($C322="","",XLOOKUP($C322,Products!$A$5:$A$34,Products!$E$5:$E$34,""))</x:f>
      </x:c>
      <x:c r="G322" s="19" t="str">
        <x:f>IF(OR($C322="",$E322=""),"",$E322*$F322)</x:f>
      </x:c>
      <x:c r="H322" s="18"/>
    </x:row>
    <x:row r="323" ht="15" hidden="0" customHeight="1">
      <x:c r="A323" s="22"/>
      <x:c r="B323" s="18"/>
      <x:c r="C323" s="18"/>
      <x:c r="D323" s="18" t="str">
        <x:f>IF($C323="","",XLOOKUP($C323,Products!$A$5:$A$34,Products!$B$5:$B$34,""))</x:f>
      </x:c>
      <x:c r="E323" s="18"/>
      <x:c r="F323" s="19" t="str">
        <x:f>IF($C323="","",XLOOKUP($C323,Products!$A$5:$A$34,Products!$E$5:$E$34,""))</x:f>
      </x:c>
      <x:c r="G323" s="19" t="str">
        <x:f>IF(OR($C323="",$E323=""),"",$E323*$F323)</x:f>
      </x:c>
      <x:c r="H323" s="18"/>
    </x:row>
    <x:row r="324" ht="15" hidden="0" customHeight="1">
      <x:c r="A324" s="22"/>
      <x:c r="B324" s="18"/>
      <x:c r="C324" s="18"/>
      <x:c r="D324" s="18" t="str">
        <x:f>IF($C324="","",XLOOKUP($C324,Products!$A$5:$A$34,Products!$B$5:$B$34,""))</x:f>
      </x:c>
      <x:c r="E324" s="18"/>
      <x:c r="F324" s="19" t="str">
        <x:f>IF($C324="","",XLOOKUP($C324,Products!$A$5:$A$34,Products!$E$5:$E$34,""))</x:f>
      </x:c>
      <x:c r="G324" s="19" t="str">
        <x:f>IF(OR($C324="",$E324=""),"",$E324*$F324)</x:f>
      </x:c>
      <x:c r="H324" s="18"/>
    </x:row>
    <x:row r="325" ht="15" hidden="0" customHeight="1">
      <x:c r="A325" s="22"/>
      <x:c r="B325" s="18"/>
      <x:c r="C325" s="18"/>
      <x:c r="D325" s="18" t="str">
        <x:f>IF($C325="","",XLOOKUP($C325,Products!$A$5:$A$34,Products!$B$5:$B$34,""))</x:f>
      </x:c>
      <x:c r="E325" s="18"/>
      <x:c r="F325" s="19" t="str">
        <x:f>IF($C325="","",XLOOKUP($C325,Products!$A$5:$A$34,Products!$E$5:$E$34,""))</x:f>
      </x:c>
      <x:c r="G325" s="19" t="str">
        <x:f>IF(OR($C325="",$E325=""),"",$E325*$F325)</x:f>
      </x:c>
      <x:c r="H325" s="18"/>
    </x:row>
    <x:row r="326" ht="15" hidden="0" customHeight="1">
      <x:c r="A326" s="22"/>
      <x:c r="B326" s="18"/>
      <x:c r="C326" s="18"/>
      <x:c r="D326" s="18" t="str">
        <x:f>IF($C326="","",XLOOKUP($C326,Products!$A$5:$A$34,Products!$B$5:$B$34,""))</x:f>
      </x:c>
      <x:c r="E326" s="18"/>
      <x:c r="F326" s="19" t="str">
        <x:f>IF($C326="","",XLOOKUP($C326,Products!$A$5:$A$34,Products!$E$5:$E$34,""))</x:f>
      </x:c>
      <x:c r="G326" s="19" t="str">
        <x:f>IF(OR($C326="",$E326=""),"",$E326*$F326)</x:f>
      </x:c>
      <x:c r="H326" s="18"/>
    </x:row>
    <x:row r="327" ht="15" hidden="0" customHeight="1">
      <x:c r="A327" s="22"/>
      <x:c r="B327" s="18"/>
      <x:c r="C327" s="18"/>
      <x:c r="D327" s="18" t="str">
        <x:f>IF($C327="","",XLOOKUP($C327,Products!$A$5:$A$34,Products!$B$5:$B$34,""))</x:f>
      </x:c>
      <x:c r="E327" s="18"/>
      <x:c r="F327" s="19" t="str">
        <x:f>IF($C327="","",XLOOKUP($C327,Products!$A$5:$A$34,Products!$E$5:$E$34,""))</x:f>
      </x:c>
      <x:c r="G327" s="19" t="str">
        <x:f>IF(OR($C327="",$E327=""),"",$E327*$F327)</x:f>
      </x:c>
      <x:c r="H327" s="18"/>
    </x:row>
    <x:row r="328" ht="15" hidden="0" customHeight="1">
      <x:c r="A328" s="22"/>
      <x:c r="B328" s="18"/>
      <x:c r="C328" s="18"/>
      <x:c r="D328" s="18" t="str">
        <x:f>IF($C328="","",XLOOKUP($C328,Products!$A$5:$A$34,Products!$B$5:$B$34,""))</x:f>
      </x:c>
      <x:c r="E328" s="18"/>
      <x:c r="F328" s="19" t="str">
        <x:f>IF($C328="","",XLOOKUP($C328,Products!$A$5:$A$34,Products!$E$5:$E$34,""))</x:f>
      </x:c>
      <x:c r="G328" s="19" t="str">
        <x:f>IF(OR($C328="",$E328=""),"",$E328*$F328)</x:f>
      </x:c>
      <x:c r="H328" s="18"/>
    </x:row>
    <x:row r="329" ht="15" hidden="0" customHeight="1">
      <x:c r="A329" s="22"/>
      <x:c r="B329" s="18"/>
      <x:c r="C329" s="18"/>
      <x:c r="D329" s="18" t="str">
        <x:f>IF($C329="","",XLOOKUP($C329,Products!$A$5:$A$34,Products!$B$5:$B$34,""))</x:f>
      </x:c>
      <x:c r="E329" s="18"/>
      <x:c r="F329" s="19" t="str">
        <x:f>IF($C329="","",XLOOKUP($C329,Products!$A$5:$A$34,Products!$E$5:$E$34,""))</x:f>
      </x:c>
      <x:c r="G329" s="19" t="str">
        <x:f>IF(OR($C329="",$E329=""),"",$E329*$F329)</x:f>
      </x:c>
      <x:c r="H329" s="18"/>
    </x:row>
    <x:row r="330" ht="15" hidden="0" customHeight="1">
      <x:c r="A330" s="22"/>
      <x:c r="B330" s="18"/>
      <x:c r="C330" s="18"/>
      <x:c r="D330" s="18" t="str">
        <x:f>IF($C330="","",XLOOKUP($C330,Products!$A$5:$A$34,Products!$B$5:$B$34,""))</x:f>
      </x:c>
      <x:c r="E330" s="18"/>
      <x:c r="F330" s="19" t="str">
        <x:f>IF($C330="","",XLOOKUP($C330,Products!$A$5:$A$34,Products!$E$5:$E$34,""))</x:f>
      </x:c>
      <x:c r="G330" s="19" t="str">
        <x:f>IF(OR($C330="",$E330=""),"",$E330*$F330)</x:f>
      </x:c>
      <x:c r="H330" s="18"/>
    </x:row>
    <x:row r="331" ht="15" hidden="0" customHeight="1">
      <x:c r="A331" s="22"/>
      <x:c r="B331" s="18"/>
      <x:c r="C331" s="18"/>
      <x:c r="D331" s="18" t="str">
        <x:f>IF($C331="","",XLOOKUP($C331,Products!$A$5:$A$34,Products!$B$5:$B$34,""))</x:f>
      </x:c>
      <x:c r="E331" s="18"/>
      <x:c r="F331" s="19" t="str">
        <x:f>IF($C331="","",XLOOKUP($C331,Products!$A$5:$A$34,Products!$E$5:$E$34,""))</x:f>
      </x:c>
      <x:c r="G331" s="19" t="str">
        <x:f>IF(OR($C331="",$E331=""),"",$E331*$F331)</x:f>
      </x:c>
      <x:c r="H331" s="18"/>
    </x:row>
    <x:row r="332" ht="15" hidden="0" customHeight="1">
      <x:c r="A332" s="22"/>
      <x:c r="B332" s="18"/>
      <x:c r="C332" s="18"/>
      <x:c r="D332" s="18" t="str">
        <x:f>IF($C332="","",XLOOKUP($C332,Products!$A$5:$A$34,Products!$B$5:$B$34,""))</x:f>
      </x:c>
      <x:c r="E332" s="18"/>
      <x:c r="F332" s="19" t="str">
        <x:f>IF($C332="","",XLOOKUP($C332,Products!$A$5:$A$34,Products!$E$5:$E$34,""))</x:f>
      </x:c>
      <x:c r="G332" s="19" t="str">
        <x:f>IF(OR($C332="",$E332=""),"",$E332*$F332)</x:f>
      </x:c>
      <x:c r="H332" s="18"/>
    </x:row>
    <x:row r="333" ht="15" hidden="0" customHeight="1">
      <x:c r="A333" s="22"/>
      <x:c r="B333" s="18"/>
      <x:c r="C333" s="18"/>
      <x:c r="D333" s="18" t="str">
        <x:f>IF($C333="","",XLOOKUP($C333,Products!$A$5:$A$34,Products!$B$5:$B$34,""))</x:f>
      </x:c>
      <x:c r="E333" s="18"/>
      <x:c r="F333" s="19" t="str">
        <x:f>IF($C333="","",XLOOKUP($C333,Products!$A$5:$A$34,Products!$E$5:$E$34,""))</x:f>
      </x:c>
      <x:c r="G333" s="19" t="str">
        <x:f>IF(OR($C333="",$E333=""),"",$E333*$F333)</x:f>
      </x:c>
      <x:c r="H333" s="18"/>
    </x:row>
    <x:row r="334" ht="15" hidden="0" customHeight="1">
      <x:c r="A334" s="22"/>
      <x:c r="B334" s="18"/>
      <x:c r="C334" s="18"/>
      <x:c r="D334" s="18" t="str">
        <x:f>IF($C334="","",XLOOKUP($C334,Products!$A$5:$A$34,Products!$B$5:$B$34,""))</x:f>
      </x:c>
      <x:c r="E334" s="18"/>
      <x:c r="F334" s="19" t="str">
        <x:f>IF($C334="","",XLOOKUP($C334,Products!$A$5:$A$34,Products!$E$5:$E$34,""))</x:f>
      </x:c>
      <x:c r="G334" s="19" t="str">
        <x:f>IF(OR($C334="",$E334=""),"",$E334*$F334)</x:f>
      </x:c>
      <x:c r="H334" s="18"/>
    </x:row>
    <x:row r="335" ht="15" hidden="0" customHeight="1">
      <x:c r="A335" s="22"/>
      <x:c r="B335" s="18"/>
      <x:c r="C335" s="18"/>
      <x:c r="D335" s="18" t="str">
        <x:f>IF($C335="","",XLOOKUP($C335,Products!$A$5:$A$34,Products!$B$5:$B$34,""))</x:f>
      </x:c>
      <x:c r="E335" s="18"/>
      <x:c r="F335" s="19" t="str">
        <x:f>IF($C335="","",XLOOKUP($C335,Products!$A$5:$A$34,Products!$E$5:$E$34,""))</x:f>
      </x:c>
      <x:c r="G335" s="19" t="str">
        <x:f>IF(OR($C335="",$E335=""),"",$E335*$F335)</x:f>
      </x:c>
      <x:c r="H335" s="18"/>
    </x:row>
    <x:row r="336" ht="15" hidden="0" customHeight="1">
      <x:c r="A336" s="22"/>
      <x:c r="B336" s="18"/>
      <x:c r="C336" s="18"/>
      <x:c r="D336" s="18" t="str">
        <x:f>IF($C336="","",XLOOKUP($C336,Products!$A$5:$A$34,Products!$B$5:$B$34,""))</x:f>
      </x:c>
      <x:c r="E336" s="18"/>
      <x:c r="F336" s="19" t="str">
        <x:f>IF($C336="","",XLOOKUP($C336,Products!$A$5:$A$34,Products!$E$5:$E$34,""))</x:f>
      </x:c>
      <x:c r="G336" s="19" t="str">
        <x:f>IF(OR($C336="",$E336=""),"",$E336*$F336)</x:f>
      </x:c>
      <x:c r="H336" s="18"/>
    </x:row>
    <x:row r="337" ht="15" hidden="0" customHeight="1">
      <x:c r="A337" s="22"/>
      <x:c r="B337" s="18"/>
      <x:c r="C337" s="18"/>
      <x:c r="D337" s="18" t="str">
        <x:f>IF($C337="","",XLOOKUP($C337,Products!$A$5:$A$34,Products!$B$5:$B$34,""))</x:f>
      </x:c>
      <x:c r="E337" s="18"/>
      <x:c r="F337" s="19" t="str">
        <x:f>IF($C337="","",XLOOKUP($C337,Products!$A$5:$A$34,Products!$E$5:$E$34,""))</x:f>
      </x:c>
      <x:c r="G337" s="19" t="str">
        <x:f>IF(OR($C337="",$E337=""),"",$E337*$F337)</x:f>
      </x:c>
      <x:c r="H337" s="18"/>
    </x:row>
    <x:row r="338" ht="15" hidden="0" customHeight="1">
      <x:c r="A338" s="22"/>
      <x:c r="B338" s="18"/>
      <x:c r="C338" s="18"/>
      <x:c r="D338" s="18" t="str">
        <x:f>IF($C338="","",XLOOKUP($C338,Products!$A$5:$A$34,Products!$B$5:$B$34,""))</x:f>
      </x:c>
      <x:c r="E338" s="18"/>
      <x:c r="F338" s="19" t="str">
        <x:f>IF($C338="","",XLOOKUP($C338,Products!$A$5:$A$34,Products!$E$5:$E$34,""))</x:f>
      </x:c>
      <x:c r="G338" s="19" t="str">
        <x:f>IF(OR($C338="",$E338=""),"",$E338*$F338)</x:f>
      </x:c>
      <x:c r="H338" s="18"/>
    </x:row>
    <x:row r="339" ht="15" hidden="0" customHeight="1">
      <x:c r="A339" s="22"/>
      <x:c r="B339" s="18"/>
      <x:c r="C339" s="18"/>
      <x:c r="D339" s="18" t="str">
        <x:f>IF($C339="","",XLOOKUP($C339,Products!$A$5:$A$34,Products!$B$5:$B$34,""))</x:f>
      </x:c>
      <x:c r="E339" s="18"/>
      <x:c r="F339" s="19" t="str">
        <x:f>IF($C339="","",XLOOKUP($C339,Products!$A$5:$A$34,Products!$E$5:$E$34,""))</x:f>
      </x:c>
      <x:c r="G339" s="19" t="str">
        <x:f>IF(OR($C339="",$E339=""),"",$E339*$F339)</x:f>
      </x:c>
      <x:c r="H339" s="18"/>
    </x:row>
    <x:row r="340" ht="15" hidden="0" customHeight="1">
      <x:c r="A340" s="22"/>
      <x:c r="B340" s="18"/>
      <x:c r="C340" s="18"/>
      <x:c r="D340" s="18" t="str">
        <x:f>IF($C340="","",XLOOKUP($C340,Products!$A$5:$A$34,Products!$B$5:$B$34,""))</x:f>
      </x:c>
      <x:c r="E340" s="18"/>
      <x:c r="F340" s="19" t="str">
        <x:f>IF($C340="","",XLOOKUP($C340,Products!$A$5:$A$34,Products!$E$5:$E$34,""))</x:f>
      </x:c>
      <x:c r="G340" s="19" t="str">
        <x:f>IF(OR($C340="",$E340=""),"",$E340*$F340)</x:f>
      </x:c>
      <x:c r="H340" s="18"/>
    </x:row>
    <x:row r="341" ht="15" hidden="0" customHeight="1">
      <x:c r="A341" s="22"/>
      <x:c r="B341" s="18"/>
      <x:c r="C341" s="18"/>
      <x:c r="D341" s="18" t="str">
        <x:f>IF($C341="","",XLOOKUP($C341,Products!$A$5:$A$34,Products!$B$5:$B$34,""))</x:f>
      </x:c>
      <x:c r="E341" s="18"/>
      <x:c r="F341" s="19" t="str">
        <x:f>IF($C341="","",XLOOKUP($C341,Products!$A$5:$A$34,Products!$E$5:$E$34,""))</x:f>
      </x:c>
      <x:c r="G341" s="19" t="str">
        <x:f>IF(OR($C341="",$E341=""),"",$E341*$F341)</x:f>
      </x:c>
      <x:c r="H341" s="18"/>
    </x:row>
    <x:row r="342" ht="15" hidden="0" customHeight="1">
      <x:c r="A342" s="22"/>
      <x:c r="B342" s="18"/>
      <x:c r="C342" s="18"/>
      <x:c r="D342" s="18" t="str">
        <x:f>IF($C342="","",XLOOKUP($C342,Products!$A$5:$A$34,Products!$B$5:$B$34,""))</x:f>
      </x:c>
      <x:c r="E342" s="18"/>
      <x:c r="F342" s="19" t="str">
        <x:f>IF($C342="","",XLOOKUP($C342,Products!$A$5:$A$34,Products!$E$5:$E$34,""))</x:f>
      </x:c>
      <x:c r="G342" s="19" t="str">
        <x:f>IF(OR($C342="",$E342=""),"",$E342*$F342)</x:f>
      </x:c>
      <x:c r="H342" s="18"/>
    </x:row>
    <x:row r="343" ht="15" hidden="0" customHeight="1">
      <x:c r="A343" s="22"/>
      <x:c r="B343" s="18"/>
      <x:c r="C343" s="18"/>
      <x:c r="D343" s="18" t="str">
        <x:f>IF($C343="","",XLOOKUP($C343,Products!$A$5:$A$34,Products!$B$5:$B$34,""))</x:f>
      </x:c>
      <x:c r="E343" s="18"/>
      <x:c r="F343" s="19" t="str">
        <x:f>IF($C343="","",XLOOKUP($C343,Products!$A$5:$A$34,Products!$E$5:$E$34,""))</x:f>
      </x:c>
      <x:c r="G343" s="19" t="str">
        <x:f>IF(OR($C343="",$E343=""),"",$E343*$F343)</x:f>
      </x:c>
      <x:c r="H343" s="18"/>
    </x:row>
    <x:row r="344" ht="15" hidden="0" customHeight="1">
      <x:c r="A344" s="22"/>
      <x:c r="B344" s="18"/>
      <x:c r="C344" s="18"/>
      <x:c r="D344" s="18" t="str">
        <x:f>IF($C344="","",XLOOKUP($C344,Products!$A$5:$A$34,Products!$B$5:$B$34,""))</x:f>
      </x:c>
      <x:c r="E344" s="18"/>
      <x:c r="F344" s="19" t="str">
        <x:f>IF($C344="","",XLOOKUP($C344,Products!$A$5:$A$34,Products!$E$5:$E$34,""))</x:f>
      </x:c>
      <x:c r="G344" s="19" t="str">
        <x:f>IF(OR($C344="",$E344=""),"",$E344*$F344)</x:f>
      </x:c>
      <x:c r="H344" s="18"/>
    </x:row>
    <x:row r="345" ht="15" hidden="0" customHeight="1">
      <x:c r="A345" s="22"/>
      <x:c r="B345" s="18"/>
      <x:c r="C345" s="18"/>
      <x:c r="D345" s="18" t="str">
        <x:f>IF($C345="","",XLOOKUP($C345,Products!$A$5:$A$34,Products!$B$5:$B$34,""))</x:f>
      </x:c>
      <x:c r="E345" s="18"/>
      <x:c r="F345" s="19" t="str">
        <x:f>IF($C345="","",XLOOKUP($C345,Products!$A$5:$A$34,Products!$E$5:$E$34,""))</x:f>
      </x:c>
      <x:c r="G345" s="19" t="str">
        <x:f>IF(OR($C345="",$E345=""),"",$E345*$F345)</x:f>
      </x:c>
      <x:c r="H345" s="18"/>
    </x:row>
    <x:row r="346" ht="15" hidden="0" customHeight="1">
      <x:c r="A346" s="22"/>
      <x:c r="B346" s="18"/>
      <x:c r="C346" s="18"/>
      <x:c r="D346" s="18" t="str">
        <x:f>IF($C346="","",XLOOKUP($C346,Products!$A$5:$A$34,Products!$B$5:$B$34,""))</x:f>
      </x:c>
      <x:c r="E346" s="18"/>
      <x:c r="F346" s="19" t="str">
        <x:f>IF($C346="","",XLOOKUP($C346,Products!$A$5:$A$34,Products!$E$5:$E$34,""))</x:f>
      </x:c>
      <x:c r="G346" s="19" t="str">
        <x:f>IF(OR($C346="",$E346=""),"",$E346*$F346)</x:f>
      </x:c>
      <x:c r="H346" s="18"/>
    </x:row>
    <x:row r="347" ht="15" hidden="0" customHeight="1">
      <x:c r="A347" s="22"/>
      <x:c r="B347" s="18"/>
      <x:c r="C347" s="18"/>
      <x:c r="D347" s="18" t="str">
        <x:f>IF($C347="","",XLOOKUP($C347,Products!$A$5:$A$34,Products!$B$5:$B$34,""))</x:f>
      </x:c>
      <x:c r="E347" s="18"/>
      <x:c r="F347" s="19" t="str">
        <x:f>IF($C347="","",XLOOKUP($C347,Products!$A$5:$A$34,Products!$E$5:$E$34,""))</x:f>
      </x:c>
      <x:c r="G347" s="19" t="str">
        <x:f>IF(OR($C347="",$E347=""),"",$E347*$F347)</x:f>
      </x:c>
      <x:c r="H347" s="18"/>
    </x:row>
    <x:row r="348" ht="15" hidden="0" customHeight="1">
      <x:c r="A348" s="22"/>
      <x:c r="B348" s="18"/>
      <x:c r="C348" s="18"/>
      <x:c r="D348" s="18" t="str">
        <x:f>IF($C348="","",XLOOKUP($C348,Products!$A$5:$A$34,Products!$B$5:$B$34,""))</x:f>
      </x:c>
      <x:c r="E348" s="18"/>
      <x:c r="F348" s="19" t="str">
        <x:f>IF($C348="","",XLOOKUP($C348,Products!$A$5:$A$34,Products!$E$5:$E$34,""))</x:f>
      </x:c>
      <x:c r="G348" s="19" t="str">
        <x:f>IF(OR($C348="",$E348=""),"",$E348*$F348)</x:f>
      </x:c>
      <x:c r="H348" s="18"/>
    </x:row>
    <x:row r="349" ht="15" hidden="0" customHeight="1">
      <x:c r="A349" s="22"/>
      <x:c r="B349" s="18"/>
      <x:c r="C349" s="18"/>
      <x:c r="D349" s="18" t="str">
        <x:f>IF($C349="","",XLOOKUP($C349,Products!$A$5:$A$34,Products!$B$5:$B$34,""))</x:f>
      </x:c>
      <x:c r="E349" s="18"/>
      <x:c r="F349" s="19" t="str">
        <x:f>IF($C349="","",XLOOKUP($C349,Products!$A$5:$A$34,Products!$E$5:$E$34,""))</x:f>
      </x:c>
      <x:c r="G349" s="19" t="str">
        <x:f>IF(OR($C349="",$E349=""),"",$E349*$F349)</x:f>
      </x:c>
      <x:c r="H349" s="18"/>
    </x:row>
    <x:row r="350" ht="15" hidden="0" customHeight="1">
      <x:c r="A350" s="22"/>
      <x:c r="B350" s="18"/>
      <x:c r="C350" s="18"/>
      <x:c r="D350" s="18" t="str">
        <x:f>IF($C350="","",XLOOKUP($C350,Products!$A$5:$A$34,Products!$B$5:$B$34,""))</x:f>
      </x:c>
      <x:c r="E350" s="18"/>
      <x:c r="F350" s="19" t="str">
        <x:f>IF($C350="","",XLOOKUP($C350,Products!$A$5:$A$34,Products!$E$5:$E$34,""))</x:f>
      </x:c>
      <x:c r="G350" s="19" t="str">
        <x:f>IF(OR($C350="",$E350=""),"",$E350*$F350)</x:f>
      </x:c>
      <x:c r="H350" s="18"/>
    </x:row>
    <x:row r="351" ht="15" hidden="0" customHeight="1">
      <x:c r="A351" s="22"/>
      <x:c r="B351" s="18"/>
      <x:c r="C351" s="18"/>
      <x:c r="D351" s="18" t="str">
        <x:f>IF($C351="","",XLOOKUP($C351,Products!$A$5:$A$34,Products!$B$5:$B$34,""))</x:f>
      </x:c>
      <x:c r="E351" s="18"/>
      <x:c r="F351" s="19" t="str">
        <x:f>IF($C351="","",XLOOKUP($C351,Products!$A$5:$A$34,Products!$E$5:$E$34,""))</x:f>
      </x:c>
      <x:c r="G351" s="19" t="str">
        <x:f>IF(OR($C351="",$E351=""),"",$E351*$F351)</x:f>
      </x:c>
      <x:c r="H351" s="18"/>
    </x:row>
    <x:row r="352" ht="15" hidden="0" customHeight="1">
      <x:c r="A352" s="22"/>
      <x:c r="B352" s="18"/>
      <x:c r="C352" s="18"/>
      <x:c r="D352" s="18" t="str">
        <x:f>IF($C352="","",XLOOKUP($C352,Products!$A$5:$A$34,Products!$B$5:$B$34,""))</x:f>
      </x:c>
      <x:c r="E352" s="18"/>
      <x:c r="F352" s="19" t="str">
        <x:f>IF($C352="","",XLOOKUP($C352,Products!$A$5:$A$34,Products!$E$5:$E$34,""))</x:f>
      </x:c>
      <x:c r="G352" s="19" t="str">
        <x:f>IF(OR($C352="",$E352=""),"",$E352*$F352)</x:f>
      </x:c>
      <x:c r="H352" s="18"/>
    </x:row>
    <x:row r="353" ht="15" hidden="0" customHeight="1">
      <x:c r="A353" s="22"/>
      <x:c r="B353" s="18"/>
      <x:c r="C353" s="18"/>
      <x:c r="D353" s="18" t="str">
        <x:f>IF($C353="","",XLOOKUP($C353,Products!$A$5:$A$34,Products!$B$5:$B$34,""))</x:f>
      </x:c>
      <x:c r="E353" s="18"/>
      <x:c r="F353" s="19" t="str">
        <x:f>IF($C353="","",XLOOKUP($C353,Products!$A$5:$A$34,Products!$E$5:$E$34,""))</x:f>
      </x:c>
      <x:c r="G353" s="19" t="str">
        <x:f>IF(OR($C353="",$E353=""),"",$E353*$F353)</x:f>
      </x:c>
      <x:c r="H353" s="18"/>
    </x:row>
    <x:row r="354" ht="15" hidden="0" customHeight="1">
      <x:c r="A354" s="22"/>
      <x:c r="B354" s="18"/>
      <x:c r="C354" s="18"/>
      <x:c r="D354" s="18" t="str">
        <x:f>IF($C354="","",XLOOKUP($C354,Products!$A$5:$A$34,Products!$B$5:$B$34,""))</x:f>
      </x:c>
      <x:c r="E354" s="18"/>
      <x:c r="F354" s="19" t="str">
        <x:f>IF($C354="","",XLOOKUP($C354,Products!$A$5:$A$34,Products!$E$5:$E$34,""))</x:f>
      </x:c>
      <x:c r="G354" s="19" t="str">
        <x:f>IF(OR($C354="",$E354=""),"",$E354*$F354)</x:f>
      </x:c>
      <x:c r="H354" s="18"/>
    </x:row>
    <x:row r="355" ht="15" hidden="0" customHeight="1">
      <x:c r="A355" s="22"/>
      <x:c r="B355" s="18"/>
      <x:c r="C355" s="18"/>
      <x:c r="D355" s="18" t="str">
        <x:f>IF($C355="","",XLOOKUP($C355,Products!$A$5:$A$34,Products!$B$5:$B$34,""))</x:f>
      </x:c>
      <x:c r="E355" s="18"/>
      <x:c r="F355" s="19" t="str">
        <x:f>IF($C355="","",XLOOKUP($C355,Products!$A$5:$A$34,Products!$E$5:$E$34,""))</x:f>
      </x:c>
      <x:c r="G355" s="19" t="str">
        <x:f>IF(OR($C355="",$E355=""),"",$E355*$F355)</x:f>
      </x:c>
      <x:c r="H355" s="18"/>
    </x:row>
    <x:row r="356" ht="15" hidden="0" customHeight="1">
      <x:c r="A356" s="22"/>
      <x:c r="B356" s="18"/>
      <x:c r="C356" s="18"/>
      <x:c r="D356" s="18" t="str">
        <x:f>IF($C356="","",XLOOKUP($C356,Products!$A$5:$A$34,Products!$B$5:$B$34,""))</x:f>
      </x:c>
      <x:c r="E356" s="18"/>
      <x:c r="F356" s="19" t="str">
        <x:f>IF($C356="","",XLOOKUP($C356,Products!$A$5:$A$34,Products!$E$5:$E$34,""))</x:f>
      </x:c>
      <x:c r="G356" s="19" t="str">
        <x:f>IF(OR($C356="",$E356=""),"",$E356*$F356)</x:f>
      </x:c>
      <x:c r="H356" s="18"/>
    </x:row>
    <x:row r="357" ht="15" hidden="0" customHeight="1">
      <x:c r="A357" s="22"/>
      <x:c r="B357" s="18"/>
      <x:c r="C357" s="18"/>
      <x:c r="D357" s="18" t="str">
        <x:f>IF($C357="","",XLOOKUP($C357,Products!$A$5:$A$34,Products!$B$5:$B$34,""))</x:f>
      </x:c>
      <x:c r="E357" s="18"/>
      <x:c r="F357" s="19" t="str">
        <x:f>IF($C357="","",XLOOKUP($C357,Products!$A$5:$A$34,Products!$E$5:$E$34,""))</x:f>
      </x:c>
      <x:c r="G357" s="19" t="str">
        <x:f>IF(OR($C357="",$E357=""),"",$E357*$F357)</x:f>
      </x:c>
      <x:c r="H357" s="18"/>
    </x:row>
    <x:row r="358" ht="15" hidden="0" customHeight="1">
      <x:c r="A358" s="22"/>
      <x:c r="B358" s="18"/>
      <x:c r="C358" s="18"/>
      <x:c r="D358" s="18" t="str">
        <x:f>IF($C358="","",XLOOKUP($C358,Products!$A$5:$A$34,Products!$B$5:$B$34,""))</x:f>
      </x:c>
      <x:c r="E358" s="18"/>
      <x:c r="F358" s="19" t="str">
        <x:f>IF($C358="","",XLOOKUP($C358,Products!$A$5:$A$34,Products!$E$5:$E$34,""))</x:f>
      </x:c>
      <x:c r="G358" s="19" t="str">
        <x:f>IF(OR($C358="",$E358=""),"",$E358*$F358)</x:f>
      </x:c>
      <x:c r="H358" s="18"/>
    </x:row>
    <x:row r="359" ht="15" hidden="0" customHeight="1">
      <x:c r="A359" s="22"/>
      <x:c r="B359" s="18"/>
      <x:c r="C359" s="18"/>
      <x:c r="D359" s="18" t="str">
        <x:f>IF($C359="","",XLOOKUP($C359,Products!$A$5:$A$34,Products!$B$5:$B$34,""))</x:f>
      </x:c>
      <x:c r="E359" s="18"/>
      <x:c r="F359" s="19" t="str">
        <x:f>IF($C359="","",XLOOKUP($C359,Products!$A$5:$A$34,Products!$E$5:$E$34,""))</x:f>
      </x:c>
      <x:c r="G359" s="19" t="str">
        <x:f>IF(OR($C359="",$E359=""),"",$E359*$F359)</x:f>
      </x:c>
      <x:c r="H359" s="18"/>
    </x:row>
    <x:row r="360" ht="15" hidden="0" customHeight="1">
      <x:c r="A360" s="22"/>
      <x:c r="B360" s="18"/>
      <x:c r="C360" s="18"/>
      <x:c r="D360" s="18" t="str">
        <x:f>IF($C360="","",XLOOKUP($C360,Products!$A$5:$A$34,Products!$B$5:$B$34,""))</x:f>
      </x:c>
      <x:c r="E360" s="18"/>
      <x:c r="F360" s="19" t="str">
        <x:f>IF($C360="","",XLOOKUP($C360,Products!$A$5:$A$34,Products!$E$5:$E$34,""))</x:f>
      </x:c>
      <x:c r="G360" s="19" t="str">
        <x:f>IF(OR($C360="",$E360=""),"",$E360*$F360)</x:f>
      </x:c>
      <x:c r="H360" s="18"/>
    </x:row>
    <x:row r="361" ht="15" hidden="0" customHeight="1">
      <x:c r="A361" s="22"/>
      <x:c r="B361" s="18"/>
      <x:c r="C361" s="18"/>
      <x:c r="D361" s="18" t="str">
        <x:f>IF($C361="","",XLOOKUP($C361,Products!$A$5:$A$34,Products!$B$5:$B$34,""))</x:f>
      </x:c>
      <x:c r="E361" s="18"/>
      <x:c r="F361" s="19" t="str">
        <x:f>IF($C361="","",XLOOKUP($C361,Products!$A$5:$A$34,Products!$E$5:$E$34,""))</x:f>
      </x:c>
      <x:c r="G361" s="19" t="str">
        <x:f>IF(OR($C361="",$E361=""),"",$E361*$F361)</x:f>
      </x:c>
      <x:c r="H361" s="18"/>
    </x:row>
    <x:row r="362" ht="15" hidden="0" customHeight="1">
      <x:c r="A362" s="22"/>
      <x:c r="B362" s="18"/>
      <x:c r="C362" s="18"/>
      <x:c r="D362" s="18" t="str">
        <x:f>IF($C362="","",XLOOKUP($C362,Products!$A$5:$A$34,Products!$B$5:$B$34,""))</x:f>
      </x:c>
      <x:c r="E362" s="18"/>
      <x:c r="F362" s="19" t="str">
        <x:f>IF($C362="","",XLOOKUP($C362,Products!$A$5:$A$34,Products!$E$5:$E$34,""))</x:f>
      </x:c>
      <x:c r="G362" s="19" t="str">
        <x:f>IF(OR($C362="",$E362=""),"",$E362*$F362)</x:f>
      </x:c>
      <x:c r="H362" s="18"/>
    </x:row>
    <x:row r="363" ht="15" hidden="0" customHeight="1">
      <x:c r="A363" s="22"/>
      <x:c r="B363" s="18"/>
      <x:c r="C363" s="18"/>
      <x:c r="D363" s="18" t="str">
        <x:f>IF($C363="","",XLOOKUP($C363,Products!$A$5:$A$34,Products!$B$5:$B$34,""))</x:f>
      </x:c>
      <x:c r="E363" s="18"/>
      <x:c r="F363" s="19" t="str">
        <x:f>IF($C363="","",XLOOKUP($C363,Products!$A$5:$A$34,Products!$E$5:$E$34,""))</x:f>
      </x:c>
      <x:c r="G363" s="19" t="str">
        <x:f>IF(OR($C363="",$E363=""),"",$E363*$F363)</x:f>
      </x:c>
      <x:c r="H363" s="18"/>
    </x:row>
    <x:row r="364" ht="15" hidden="0" customHeight="1">
      <x:c r="A364" s="22"/>
      <x:c r="B364" s="18"/>
      <x:c r="C364" s="18"/>
      <x:c r="D364" s="18" t="str">
        <x:f>IF($C364="","",XLOOKUP($C364,Products!$A$5:$A$34,Products!$B$5:$B$34,""))</x:f>
      </x:c>
      <x:c r="E364" s="18"/>
      <x:c r="F364" s="19" t="str">
        <x:f>IF($C364="","",XLOOKUP($C364,Products!$A$5:$A$34,Products!$E$5:$E$34,""))</x:f>
      </x:c>
      <x:c r="G364" s="19" t="str">
        <x:f>IF(OR($C364="",$E364=""),"",$E364*$F364)</x:f>
      </x:c>
      <x:c r="H364" s="18"/>
    </x:row>
    <x:row r="365" ht="15" hidden="0" customHeight="1">
      <x:c r="A365" s="22"/>
      <x:c r="B365" s="18"/>
      <x:c r="C365" s="18"/>
      <x:c r="D365" s="18" t="str">
        <x:f>IF($C365="","",XLOOKUP($C365,Products!$A$5:$A$34,Products!$B$5:$B$34,""))</x:f>
      </x:c>
      <x:c r="E365" s="18"/>
      <x:c r="F365" s="19" t="str">
        <x:f>IF($C365="","",XLOOKUP($C365,Products!$A$5:$A$34,Products!$E$5:$E$34,""))</x:f>
      </x:c>
      <x:c r="G365" s="19" t="str">
        <x:f>IF(OR($C365="",$E365=""),"",$E365*$F365)</x:f>
      </x:c>
      <x:c r="H365" s="18"/>
    </x:row>
    <x:row r="366" ht="15" hidden="0" customHeight="1">
      <x:c r="A366" s="22"/>
      <x:c r="B366" s="18"/>
      <x:c r="C366" s="18"/>
      <x:c r="D366" s="18" t="str">
        <x:f>IF($C366="","",XLOOKUP($C366,Products!$A$5:$A$34,Products!$B$5:$B$34,""))</x:f>
      </x:c>
      <x:c r="E366" s="18"/>
      <x:c r="F366" s="19" t="str">
        <x:f>IF($C366="","",XLOOKUP($C366,Products!$A$5:$A$34,Products!$E$5:$E$34,""))</x:f>
      </x:c>
      <x:c r="G366" s="19" t="str">
        <x:f>IF(OR($C366="",$E366=""),"",$E366*$F366)</x:f>
      </x:c>
      <x:c r="H366" s="18"/>
    </x:row>
    <x:row r="367" ht="15" hidden="0" customHeight="1">
      <x:c r="A367" s="22"/>
      <x:c r="B367" s="18"/>
      <x:c r="C367" s="18"/>
      <x:c r="D367" s="18" t="str">
        <x:f>IF($C367="","",XLOOKUP($C367,Products!$A$5:$A$34,Products!$B$5:$B$34,""))</x:f>
      </x:c>
      <x:c r="E367" s="18"/>
      <x:c r="F367" s="19" t="str">
        <x:f>IF($C367="","",XLOOKUP($C367,Products!$A$5:$A$34,Products!$E$5:$E$34,""))</x:f>
      </x:c>
      <x:c r="G367" s="19" t="str">
        <x:f>IF(OR($C367="",$E367=""),"",$E367*$F367)</x:f>
      </x:c>
      <x:c r="H367" s="18"/>
    </x:row>
    <x:row r="368" ht="15" hidden="0" customHeight="1">
      <x:c r="A368" s="22"/>
      <x:c r="B368" s="18"/>
      <x:c r="C368" s="18"/>
      <x:c r="D368" s="18" t="str">
        <x:f>IF($C368="","",XLOOKUP($C368,Products!$A$5:$A$34,Products!$B$5:$B$34,""))</x:f>
      </x:c>
      <x:c r="E368" s="18"/>
      <x:c r="F368" s="19" t="str">
        <x:f>IF($C368="","",XLOOKUP($C368,Products!$A$5:$A$34,Products!$E$5:$E$34,""))</x:f>
      </x:c>
      <x:c r="G368" s="19" t="str">
        <x:f>IF(OR($C368="",$E368=""),"",$E368*$F368)</x:f>
      </x:c>
      <x:c r="H368" s="18"/>
    </x:row>
    <x:row r="369" ht="15" hidden="0" customHeight="1">
      <x:c r="A369" s="22"/>
      <x:c r="B369" s="18"/>
      <x:c r="C369" s="18"/>
      <x:c r="D369" s="18" t="str">
        <x:f>IF($C369="","",XLOOKUP($C369,Products!$A$5:$A$34,Products!$B$5:$B$34,""))</x:f>
      </x:c>
      <x:c r="E369" s="18"/>
      <x:c r="F369" s="19" t="str">
        <x:f>IF($C369="","",XLOOKUP($C369,Products!$A$5:$A$34,Products!$E$5:$E$34,""))</x:f>
      </x:c>
      <x:c r="G369" s="19" t="str">
        <x:f>IF(OR($C369="",$E369=""),"",$E369*$F369)</x:f>
      </x:c>
      <x:c r="H369" s="18"/>
    </x:row>
    <x:row r="370" ht="15" hidden="0" customHeight="1">
      <x:c r="A370" s="22"/>
      <x:c r="B370" s="18"/>
      <x:c r="C370" s="18"/>
      <x:c r="D370" s="18" t="str">
        <x:f>IF($C370="","",XLOOKUP($C370,Products!$A$5:$A$34,Products!$B$5:$B$34,""))</x:f>
      </x:c>
      <x:c r="E370" s="18"/>
      <x:c r="F370" s="19" t="str">
        <x:f>IF($C370="","",XLOOKUP($C370,Products!$A$5:$A$34,Products!$E$5:$E$34,""))</x:f>
      </x:c>
      <x:c r="G370" s="19" t="str">
        <x:f>IF(OR($C370="",$E370=""),"",$E370*$F370)</x:f>
      </x:c>
      <x:c r="H370" s="18"/>
    </x:row>
    <x:row r="371" ht="15" hidden="0" customHeight="1">
      <x:c r="A371" s="22"/>
      <x:c r="B371" s="18"/>
      <x:c r="C371" s="18"/>
      <x:c r="D371" s="18" t="str">
        <x:f>IF($C371="","",XLOOKUP($C371,Products!$A$5:$A$34,Products!$B$5:$B$34,""))</x:f>
      </x:c>
      <x:c r="E371" s="18"/>
      <x:c r="F371" s="19" t="str">
        <x:f>IF($C371="","",XLOOKUP($C371,Products!$A$5:$A$34,Products!$E$5:$E$34,""))</x:f>
      </x:c>
      <x:c r="G371" s="19" t="str">
        <x:f>IF(OR($C371="",$E371=""),"",$E371*$F371)</x:f>
      </x:c>
      <x:c r="H371" s="18"/>
    </x:row>
    <x:row r="372" ht="15" hidden="0" customHeight="1">
      <x:c r="A372" s="22"/>
      <x:c r="B372" s="18"/>
      <x:c r="C372" s="18"/>
      <x:c r="D372" s="18" t="str">
        <x:f>IF($C372="","",XLOOKUP($C372,Products!$A$5:$A$34,Products!$B$5:$B$34,""))</x:f>
      </x:c>
      <x:c r="E372" s="18"/>
      <x:c r="F372" s="19" t="str">
        <x:f>IF($C372="","",XLOOKUP($C372,Products!$A$5:$A$34,Products!$E$5:$E$34,""))</x:f>
      </x:c>
      <x:c r="G372" s="19" t="str">
        <x:f>IF(OR($C372="",$E372=""),"",$E372*$F372)</x:f>
      </x:c>
      <x:c r="H372" s="18"/>
    </x:row>
    <x:row r="373" ht="15" hidden="0" customHeight="1">
      <x:c r="A373" s="22"/>
      <x:c r="B373" s="18"/>
      <x:c r="C373" s="18"/>
      <x:c r="D373" s="18" t="str">
        <x:f>IF($C373="","",XLOOKUP($C373,Products!$A$5:$A$34,Products!$B$5:$B$34,""))</x:f>
      </x:c>
      <x:c r="E373" s="18"/>
      <x:c r="F373" s="19" t="str">
        <x:f>IF($C373="","",XLOOKUP($C373,Products!$A$5:$A$34,Products!$E$5:$E$34,""))</x:f>
      </x:c>
      <x:c r="G373" s="19" t="str">
        <x:f>IF(OR($C373="",$E373=""),"",$E373*$F373)</x:f>
      </x:c>
      <x:c r="H373" s="18"/>
    </x:row>
    <x:row r="374" ht="15" hidden="0" customHeight="1">
      <x:c r="A374" s="22"/>
      <x:c r="B374" s="18"/>
      <x:c r="C374" s="18"/>
      <x:c r="D374" s="18" t="str">
        <x:f>IF($C374="","",XLOOKUP($C374,Products!$A$5:$A$34,Products!$B$5:$B$34,""))</x:f>
      </x:c>
      <x:c r="E374" s="18"/>
      <x:c r="F374" s="19" t="str">
        <x:f>IF($C374="","",XLOOKUP($C374,Products!$A$5:$A$34,Products!$E$5:$E$34,""))</x:f>
      </x:c>
      <x:c r="G374" s="19" t="str">
        <x:f>IF(OR($C374="",$E374=""),"",$E374*$F374)</x:f>
      </x:c>
      <x:c r="H374" s="18"/>
    </x:row>
    <x:row r="375" ht="15" hidden="0" customHeight="1">
      <x:c r="A375" s="22"/>
      <x:c r="B375" s="18"/>
      <x:c r="C375" s="18"/>
      <x:c r="D375" s="18" t="str">
        <x:f>IF($C375="","",XLOOKUP($C375,Products!$A$5:$A$34,Products!$B$5:$B$34,""))</x:f>
      </x:c>
      <x:c r="E375" s="18"/>
      <x:c r="F375" s="19" t="str">
        <x:f>IF($C375="","",XLOOKUP($C375,Products!$A$5:$A$34,Products!$E$5:$E$34,""))</x:f>
      </x:c>
      <x:c r="G375" s="19" t="str">
        <x:f>IF(OR($C375="",$E375=""),"",$E375*$F375)</x:f>
      </x:c>
      <x:c r="H375" s="18"/>
    </x:row>
    <x:row r="376" ht="15" hidden="0" customHeight="1">
      <x:c r="A376" s="22"/>
      <x:c r="B376" s="18"/>
      <x:c r="C376" s="18"/>
      <x:c r="D376" s="18" t="str">
        <x:f>IF($C376="","",XLOOKUP($C376,Products!$A$5:$A$34,Products!$B$5:$B$34,""))</x:f>
      </x:c>
      <x:c r="E376" s="18"/>
      <x:c r="F376" s="19" t="str">
        <x:f>IF($C376="","",XLOOKUP($C376,Products!$A$5:$A$34,Products!$E$5:$E$34,""))</x:f>
      </x:c>
      <x:c r="G376" s="19" t="str">
        <x:f>IF(OR($C376="",$E376=""),"",$E376*$F376)</x:f>
      </x:c>
      <x:c r="H376" s="18"/>
    </x:row>
    <x:row r="377" ht="15" hidden="0" customHeight="1">
      <x:c r="A377" s="22"/>
      <x:c r="B377" s="18"/>
      <x:c r="C377" s="18"/>
      <x:c r="D377" s="18" t="str">
        <x:f>IF($C377="","",XLOOKUP($C377,Products!$A$5:$A$34,Products!$B$5:$B$34,""))</x:f>
      </x:c>
      <x:c r="E377" s="18"/>
      <x:c r="F377" s="19" t="str">
        <x:f>IF($C377="","",XLOOKUP($C377,Products!$A$5:$A$34,Products!$E$5:$E$34,""))</x:f>
      </x:c>
      <x:c r="G377" s="19" t="str">
        <x:f>IF(OR($C377="",$E377=""),"",$E377*$F377)</x:f>
      </x:c>
      <x:c r="H377" s="18"/>
    </x:row>
    <x:row r="378" ht="15" hidden="0" customHeight="1">
      <x:c r="A378" s="22"/>
      <x:c r="B378" s="18"/>
      <x:c r="C378" s="18"/>
      <x:c r="D378" s="18" t="str">
        <x:f>IF($C378="","",XLOOKUP($C378,Products!$A$5:$A$34,Products!$B$5:$B$34,""))</x:f>
      </x:c>
      <x:c r="E378" s="18"/>
      <x:c r="F378" s="19" t="str">
        <x:f>IF($C378="","",XLOOKUP($C378,Products!$A$5:$A$34,Products!$E$5:$E$34,""))</x:f>
      </x:c>
      <x:c r="G378" s="19" t="str">
        <x:f>IF(OR($C378="",$E378=""),"",$E378*$F378)</x:f>
      </x:c>
      <x:c r="H378" s="18"/>
    </x:row>
    <x:row r="379" ht="15" hidden="0" customHeight="1">
      <x:c r="A379" s="22"/>
      <x:c r="B379" s="18"/>
      <x:c r="C379" s="18"/>
      <x:c r="D379" s="18" t="str">
        <x:f>IF($C379="","",XLOOKUP($C379,Products!$A$5:$A$34,Products!$B$5:$B$34,""))</x:f>
      </x:c>
      <x:c r="E379" s="18"/>
      <x:c r="F379" s="19" t="str">
        <x:f>IF($C379="","",XLOOKUP($C379,Products!$A$5:$A$34,Products!$E$5:$E$34,""))</x:f>
      </x:c>
      <x:c r="G379" s="19" t="str">
        <x:f>IF(OR($C379="",$E379=""),"",$E379*$F379)</x:f>
      </x:c>
      <x:c r="H379" s="18"/>
    </x:row>
    <x:row r="380" ht="15" hidden="0" customHeight="1">
      <x:c r="A380" s="22"/>
      <x:c r="B380" s="18"/>
      <x:c r="C380" s="18"/>
      <x:c r="D380" s="18" t="str">
        <x:f>IF($C380="","",XLOOKUP($C380,Products!$A$5:$A$34,Products!$B$5:$B$34,""))</x:f>
      </x:c>
      <x:c r="E380" s="18"/>
      <x:c r="F380" s="19" t="str">
        <x:f>IF($C380="","",XLOOKUP($C380,Products!$A$5:$A$34,Products!$E$5:$E$34,""))</x:f>
      </x:c>
      <x:c r="G380" s="19" t="str">
        <x:f>IF(OR($C380="",$E380=""),"",$E380*$F380)</x:f>
      </x:c>
      <x:c r="H380" s="18"/>
    </x:row>
    <x:row r="381" ht="15" hidden="0" customHeight="1">
      <x:c r="A381" s="22"/>
      <x:c r="B381" s="18"/>
      <x:c r="C381" s="18"/>
      <x:c r="D381" s="18" t="str">
        <x:f>IF($C381="","",XLOOKUP($C381,Products!$A$5:$A$34,Products!$B$5:$B$34,""))</x:f>
      </x:c>
      <x:c r="E381" s="18"/>
      <x:c r="F381" s="19" t="str">
        <x:f>IF($C381="","",XLOOKUP($C381,Products!$A$5:$A$34,Products!$E$5:$E$34,""))</x:f>
      </x:c>
      <x:c r="G381" s="19" t="str">
        <x:f>IF(OR($C381="",$E381=""),"",$E381*$F381)</x:f>
      </x:c>
      <x:c r="H381" s="18"/>
    </x:row>
    <x:row r="382" ht="15" hidden="0" customHeight="1">
      <x:c r="A382" s="22"/>
      <x:c r="B382" s="18"/>
      <x:c r="C382" s="18"/>
      <x:c r="D382" s="18" t="str">
        <x:f>IF($C382="","",XLOOKUP($C382,Products!$A$5:$A$34,Products!$B$5:$B$34,""))</x:f>
      </x:c>
      <x:c r="E382" s="18"/>
      <x:c r="F382" s="19" t="str">
        <x:f>IF($C382="","",XLOOKUP($C382,Products!$A$5:$A$34,Products!$E$5:$E$34,""))</x:f>
      </x:c>
      <x:c r="G382" s="19" t="str">
        <x:f>IF(OR($C382="",$E382=""),"",$E382*$F382)</x:f>
      </x:c>
      <x:c r="H382" s="18"/>
    </x:row>
    <x:row r="383" ht="15" hidden="0" customHeight="1">
      <x:c r="A383" s="22"/>
      <x:c r="B383" s="18"/>
      <x:c r="C383" s="18"/>
      <x:c r="D383" s="18" t="str">
        <x:f>IF($C383="","",XLOOKUP($C383,Products!$A$5:$A$34,Products!$B$5:$B$34,""))</x:f>
      </x:c>
      <x:c r="E383" s="18"/>
      <x:c r="F383" s="19" t="str">
        <x:f>IF($C383="","",XLOOKUP($C383,Products!$A$5:$A$34,Products!$E$5:$E$34,""))</x:f>
      </x:c>
      <x:c r="G383" s="19" t="str">
        <x:f>IF(OR($C383="",$E383=""),"",$E383*$F383)</x:f>
      </x:c>
      <x:c r="H383" s="18"/>
    </x:row>
    <x:row r="384" ht="15" hidden="0" customHeight="1">
      <x:c r="A384" s="22"/>
      <x:c r="B384" s="18"/>
      <x:c r="C384" s="18"/>
      <x:c r="D384" s="18" t="str">
        <x:f>IF($C384="","",XLOOKUP($C384,Products!$A$5:$A$34,Products!$B$5:$B$34,""))</x:f>
      </x:c>
      <x:c r="E384" s="18"/>
      <x:c r="F384" s="19" t="str">
        <x:f>IF($C384="","",XLOOKUP($C384,Products!$A$5:$A$34,Products!$E$5:$E$34,""))</x:f>
      </x:c>
      <x:c r="G384" s="19" t="str">
        <x:f>IF(OR($C384="",$E384=""),"",$E384*$F384)</x:f>
      </x:c>
      <x:c r="H384" s="18"/>
    </x:row>
    <x:row r="385" ht="15" hidden="0" customHeight="1">
      <x:c r="A385" s="22"/>
      <x:c r="B385" s="18"/>
      <x:c r="C385" s="18"/>
      <x:c r="D385" s="18" t="str">
        <x:f>IF($C385="","",XLOOKUP($C385,Products!$A$5:$A$34,Products!$B$5:$B$34,""))</x:f>
      </x:c>
      <x:c r="E385" s="18"/>
      <x:c r="F385" s="19" t="str">
        <x:f>IF($C385="","",XLOOKUP($C385,Products!$A$5:$A$34,Products!$E$5:$E$34,""))</x:f>
      </x:c>
      <x:c r="G385" s="19" t="str">
        <x:f>IF(OR($C385="",$E385=""),"",$E385*$F385)</x:f>
      </x:c>
      <x:c r="H385" s="18"/>
    </x:row>
    <x:row r="386" ht="15" hidden="0" customHeight="1">
      <x:c r="A386" s="22"/>
      <x:c r="B386" s="18"/>
      <x:c r="C386" s="18"/>
      <x:c r="D386" s="18" t="str">
        <x:f>IF($C386="","",XLOOKUP($C386,Products!$A$5:$A$34,Products!$B$5:$B$34,""))</x:f>
      </x:c>
      <x:c r="E386" s="18"/>
      <x:c r="F386" s="19" t="str">
        <x:f>IF($C386="","",XLOOKUP($C386,Products!$A$5:$A$34,Products!$E$5:$E$34,""))</x:f>
      </x:c>
      <x:c r="G386" s="19" t="str">
        <x:f>IF(OR($C386="",$E386=""),"",$E386*$F386)</x:f>
      </x:c>
      <x:c r="H386" s="18"/>
    </x:row>
    <x:row r="387" ht="15" hidden="0" customHeight="1">
      <x:c r="A387" s="22"/>
      <x:c r="B387" s="18"/>
      <x:c r="C387" s="18"/>
      <x:c r="D387" s="18" t="str">
        <x:f>IF($C387="","",XLOOKUP($C387,Products!$A$5:$A$34,Products!$B$5:$B$34,""))</x:f>
      </x:c>
      <x:c r="E387" s="18"/>
      <x:c r="F387" s="19" t="str">
        <x:f>IF($C387="","",XLOOKUP($C387,Products!$A$5:$A$34,Products!$E$5:$E$34,""))</x:f>
      </x:c>
      <x:c r="G387" s="19" t="str">
        <x:f>IF(OR($C387="",$E387=""),"",$E387*$F387)</x:f>
      </x:c>
      <x:c r="H387" s="18"/>
    </x:row>
    <x:row r="388" ht="15" hidden="0" customHeight="1">
      <x:c r="A388" s="22"/>
      <x:c r="B388" s="18"/>
      <x:c r="C388" s="18"/>
      <x:c r="D388" s="18" t="str">
        <x:f>IF($C388="","",XLOOKUP($C388,Products!$A$5:$A$34,Products!$B$5:$B$34,""))</x:f>
      </x:c>
      <x:c r="E388" s="18"/>
      <x:c r="F388" s="19" t="str">
        <x:f>IF($C388="","",XLOOKUP($C388,Products!$A$5:$A$34,Products!$E$5:$E$34,""))</x:f>
      </x:c>
      <x:c r="G388" s="19" t="str">
        <x:f>IF(OR($C388="",$E388=""),"",$E388*$F388)</x:f>
      </x:c>
      <x:c r="H388" s="18"/>
    </x:row>
    <x:row r="389" ht="15" hidden="0" customHeight="1">
      <x:c r="A389" s="22"/>
      <x:c r="B389" s="18"/>
      <x:c r="C389" s="18"/>
      <x:c r="D389" s="18" t="str">
        <x:f>IF($C389="","",XLOOKUP($C389,Products!$A$5:$A$34,Products!$B$5:$B$34,""))</x:f>
      </x:c>
      <x:c r="E389" s="18"/>
      <x:c r="F389" s="19" t="str">
        <x:f>IF($C389="","",XLOOKUP($C389,Products!$A$5:$A$34,Products!$E$5:$E$34,""))</x:f>
      </x:c>
      <x:c r="G389" s="19" t="str">
        <x:f>IF(OR($C389="",$E389=""),"",$E389*$F389)</x:f>
      </x:c>
      <x:c r="H389" s="18"/>
    </x:row>
    <x:row r="390" ht="15" hidden="0" customHeight="1">
      <x:c r="A390" s="22"/>
      <x:c r="B390" s="18"/>
      <x:c r="C390" s="18"/>
      <x:c r="D390" s="18" t="str">
        <x:f>IF($C390="","",XLOOKUP($C390,Products!$A$5:$A$34,Products!$B$5:$B$34,""))</x:f>
      </x:c>
      <x:c r="E390" s="18"/>
      <x:c r="F390" s="19" t="str">
        <x:f>IF($C390="","",XLOOKUP($C390,Products!$A$5:$A$34,Products!$E$5:$E$34,""))</x:f>
      </x:c>
      <x:c r="G390" s="19" t="str">
        <x:f>IF(OR($C390="",$E390=""),"",$E390*$F390)</x:f>
      </x:c>
      <x:c r="H390" s="18"/>
    </x:row>
    <x:row r="391" ht="15" hidden="0" customHeight="1">
      <x:c r="A391" s="22"/>
      <x:c r="B391" s="18"/>
      <x:c r="C391" s="18"/>
      <x:c r="D391" s="18" t="str">
        <x:f>IF($C391="","",XLOOKUP($C391,Products!$A$5:$A$34,Products!$B$5:$B$34,""))</x:f>
      </x:c>
      <x:c r="E391" s="18"/>
      <x:c r="F391" s="19" t="str">
        <x:f>IF($C391="","",XLOOKUP($C391,Products!$A$5:$A$34,Products!$E$5:$E$34,""))</x:f>
      </x:c>
      <x:c r="G391" s="19" t="str">
        <x:f>IF(OR($C391="",$E391=""),"",$E391*$F391)</x:f>
      </x:c>
      <x:c r="H391" s="18"/>
    </x:row>
    <x:row r="392" ht="15" hidden="0" customHeight="1">
      <x:c r="A392" s="22"/>
      <x:c r="B392" s="18"/>
      <x:c r="C392" s="18"/>
      <x:c r="D392" s="18" t="str">
        <x:f>IF($C392="","",XLOOKUP($C392,Products!$A$5:$A$34,Products!$B$5:$B$34,""))</x:f>
      </x:c>
      <x:c r="E392" s="18"/>
      <x:c r="F392" s="19" t="str">
        <x:f>IF($C392="","",XLOOKUP($C392,Products!$A$5:$A$34,Products!$E$5:$E$34,""))</x:f>
      </x:c>
      <x:c r="G392" s="19" t="str">
        <x:f>IF(OR($C392="",$E392=""),"",$E392*$F392)</x:f>
      </x:c>
      <x:c r="H392" s="18"/>
    </x:row>
    <x:row r="393" ht="15" hidden="0" customHeight="1">
      <x:c r="A393" s="22"/>
      <x:c r="B393" s="18"/>
      <x:c r="C393" s="18"/>
      <x:c r="D393" s="18" t="str">
        <x:f>IF($C393="","",XLOOKUP($C393,Products!$A$5:$A$34,Products!$B$5:$B$34,""))</x:f>
      </x:c>
      <x:c r="E393" s="18"/>
      <x:c r="F393" s="19" t="str">
        <x:f>IF($C393="","",XLOOKUP($C393,Products!$A$5:$A$34,Products!$E$5:$E$34,""))</x:f>
      </x:c>
      <x:c r="G393" s="19" t="str">
        <x:f>IF(OR($C393="",$E393=""),"",$E393*$F393)</x:f>
      </x:c>
      <x:c r="H393" s="18"/>
    </x:row>
    <x:row r="394" ht="15" hidden="0" customHeight="1">
      <x:c r="A394" s="22"/>
      <x:c r="B394" s="18"/>
      <x:c r="C394" s="18"/>
      <x:c r="D394" s="18" t="str">
        <x:f>IF($C394="","",XLOOKUP($C394,Products!$A$5:$A$34,Products!$B$5:$B$34,""))</x:f>
      </x:c>
      <x:c r="E394" s="18"/>
      <x:c r="F394" s="19" t="str">
        <x:f>IF($C394="","",XLOOKUP($C394,Products!$A$5:$A$34,Products!$E$5:$E$34,""))</x:f>
      </x:c>
      <x:c r="G394" s="19" t="str">
        <x:f>IF(OR($C394="",$E394=""),"",$E394*$F394)</x:f>
      </x:c>
      <x:c r="H394" s="18"/>
    </x:row>
    <x:row r="395" ht="15" hidden="0" customHeight="1">
      <x:c r="A395" s="22"/>
      <x:c r="B395" s="18"/>
      <x:c r="C395" s="18"/>
      <x:c r="D395" s="18" t="str">
        <x:f>IF($C395="","",XLOOKUP($C395,Products!$A$5:$A$34,Products!$B$5:$B$34,""))</x:f>
      </x:c>
      <x:c r="E395" s="18"/>
      <x:c r="F395" s="19" t="str">
        <x:f>IF($C395="","",XLOOKUP($C395,Products!$A$5:$A$34,Products!$E$5:$E$34,""))</x:f>
      </x:c>
      <x:c r="G395" s="19" t="str">
        <x:f>IF(OR($C395="",$E395=""),"",$E395*$F395)</x:f>
      </x:c>
      <x:c r="H395" s="18"/>
    </x:row>
    <x:row r="396" ht="15" hidden="0" customHeight="1">
      <x:c r="A396" s="22"/>
      <x:c r="B396" s="18"/>
      <x:c r="C396" s="18"/>
      <x:c r="D396" s="18" t="str">
        <x:f>IF($C396="","",XLOOKUP($C396,Products!$A$5:$A$34,Products!$B$5:$B$34,""))</x:f>
      </x:c>
      <x:c r="E396" s="18"/>
      <x:c r="F396" s="19" t="str">
        <x:f>IF($C396="","",XLOOKUP($C396,Products!$A$5:$A$34,Products!$E$5:$E$34,""))</x:f>
      </x:c>
      <x:c r="G396" s="19" t="str">
        <x:f>IF(OR($C396="",$E396=""),"",$E396*$F396)</x:f>
      </x:c>
      <x:c r="H396" s="18"/>
    </x:row>
    <x:row r="397" ht="15" hidden="0" customHeight="1">
      <x:c r="A397" s="22"/>
      <x:c r="B397" s="18"/>
      <x:c r="C397" s="18"/>
      <x:c r="D397" s="18" t="str">
        <x:f>IF($C397="","",XLOOKUP($C397,Products!$A$5:$A$34,Products!$B$5:$B$34,""))</x:f>
      </x:c>
      <x:c r="E397" s="18"/>
      <x:c r="F397" s="19" t="str">
        <x:f>IF($C397="","",XLOOKUP($C397,Products!$A$5:$A$34,Products!$E$5:$E$34,""))</x:f>
      </x:c>
      <x:c r="G397" s="19" t="str">
        <x:f>IF(OR($C397="",$E397=""),"",$E397*$F397)</x:f>
      </x:c>
      <x:c r="H397" s="18"/>
    </x:row>
    <x:row r="398" ht="15" hidden="0" customHeight="1">
      <x:c r="A398" s="22"/>
      <x:c r="B398" s="18"/>
      <x:c r="C398" s="18"/>
      <x:c r="D398" s="18" t="str">
        <x:f>IF($C398="","",XLOOKUP($C398,Products!$A$5:$A$34,Products!$B$5:$B$34,""))</x:f>
      </x:c>
      <x:c r="E398" s="18"/>
      <x:c r="F398" s="19" t="str">
        <x:f>IF($C398="","",XLOOKUP($C398,Products!$A$5:$A$34,Products!$E$5:$E$34,""))</x:f>
      </x:c>
      <x:c r="G398" s="19" t="str">
        <x:f>IF(OR($C398="",$E398=""),"",$E398*$F398)</x:f>
      </x:c>
      <x:c r="H398" s="18"/>
    </x:row>
    <x:row r="399" ht="15" hidden="0" customHeight="1">
      <x:c r="A399" s="22"/>
      <x:c r="B399" s="18"/>
      <x:c r="C399" s="18"/>
      <x:c r="D399" s="18" t="str">
        <x:f>IF($C399="","",XLOOKUP($C399,Products!$A$5:$A$34,Products!$B$5:$B$34,""))</x:f>
      </x:c>
      <x:c r="E399" s="18"/>
      <x:c r="F399" s="19" t="str">
        <x:f>IF($C399="","",XLOOKUP($C399,Products!$A$5:$A$34,Products!$E$5:$E$34,""))</x:f>
      </x:c>
      <x:c r="G399" s="19" t="str">
        <x:f>IF(OR($C399="",$E399=""),"",$E399*$F399)</x:f>
      </x:c>
      <x:c r="H399" s="18"/>
    </x:row>
    <x:row r="400" ht="15" hidden="0" customHeight="1">
      <x:c r="A400" s="22"/>
      <x:c r="B400" s="18"/>
      <x:c r="C400" s="18"/>
      <x:c r="D400" s="18" t="str">
        <x:f>IF($C400="","",XLOOKUP($C400,Products!$A$5:$A$34,Products!$B$5:$B$34,""))</x:f>
      </x:c>
      <x:c r="E400" s="18"/>
      <x:c r="F400" s="19" t="str">
        <x:f>IF($C400="","",XLOOKUP($C400,Products!$A$5:$A$34,Products!$E$5:$E$34,""))</x:f>
      </x:c>
      <x:c r="G400" s="19" t="str">
        <x:f>IF(OR($C400="",$E400=""),"",$E400*$F400)</x:f>
      </x:c>
      <x:c r="H400" s="18"/>
    </x:row>
    <x:row r="401" ht="15" hidden="0" customHeight="1">
      <x:c r="A401" s="22"/>
      <x:c r="B401" s="18"/>
      <x:c r="C401" s="18"/>
      <x:c r="D401" s="18" t="str">
        <x:f>IF($C401="","",XLOOKUP($C401,Products!$A$5:$A$34,Products!$B$5:$B$34,""))</x:f>
      </x:c>
      <x:c r="E401" s="18"/>
      <x:c r="F401" s="19" t="str">
        <x:f>IF($C401="","",XLOOKUP($C401,Products!$A$5:$A$34,Products!$E$5:$E$34,""))</x:f>
      </x:c>
      <x:c r="G401" s="19" t="str">
        <x:f>IF(OR($C401="",$E401=""),"",$E401*$F401)</x:f>
      </x:c>
      <x:c r="H401" s="18"/>
    </x:row>
    <x:row r="402" ht="15" hidden="0" customHeight="1">
      <x:c r="A402" s="22"/>
      <x:c r="B402" s="18"/>
      <x:c r="C402" s="18"/>
      <x:c r="D402" s="18" t="str">
        <x:f>IF($C402="","",XLOOKUP($C402,Products!$A$5:$A$34,Products!$B$5:$B$34,""))</x:f>
      </x:c>
      <x:c r="E402" s="18"/>
      <x:c r="F402" s="19" t="str">
        <x:f>IF($C402="","",XLOOKUP($C402,Products!$A$5:$A$34,Products!$E$5:$E$34,""))</x:f>
      </x:c>
      <x:c r="G402" s="19" t="str">
        <x:f>IF(OR($C402="",$E402=""),"",$E402*$F402)</x:f>
      </x:c>
      <x:c r="H402" s="18"/>
    </x:row>
    <x:row r="403" ht="15" hidden="0" customHeight="1">
      <x:c r="A403" s="22"/>
      <x:c r="B403" s="18"/>
      <x:c r="C403" s="18"/>
      <x:c r="D403" s="18" t="str">
        <x:f>IF($C403="","",XLOOKUP($C403,Products!$A$5:$A$34,Products!$B$5:$B$34,""))</x:f>
      </x:c>
      <x:c r="E403" s="18"/>
      <x:c r="F403" s="19" t="str">
        <x:f>IF($C403="","",XLOOKUP($C403,Products!$A$5:$A$34,Products!$E$5:$E$34,""))</x:f>
      </x:c>
      <x:c r="G403" s="19" t="str">
        <x:f>IF(OR($C403="",$E403=""),"",$E403*$F403)</x:f>
      </x:c>
      <x:c r="H403" s="18"/>
    </x:row>
    <x:row r="404" ht="15" hidden="0" customHeight="1">
      <x:c r="A404" s="22"/>
      <x:c r="B404" s="18"/>
      <x:c r="C404" s="18"/>
      <x:c r="D404" s="18" t="str">
        <x:f>IF($C404="","",XLOOKUP($C404,Products!$A$5:$A$34,Products!$B$5:$B$34,""))</x:f>
      </x:c>
      <x:c r="E404" s="18"/>
      <x:c r="F404" s="19" t="str">
        <x:f>IF($C404="","",XLOOKUP($C404,Products!$A$5:$A$34,Products!$E$5:$E$34,""))</x:f>
      </x:c>
      <x:c r="G404" s="19" t="str">
        <x:f>IF(OR($C404="",$E404=""),"",$E404*$F404)</x:f>
      </x:c>
      <x:c r="H404" s="18"/>
    </x:row>
    <x:row r="405" ht="15" hidden="0" customHeight="1">
      <x:c r="A405" s="22"/>
      <x:c r="B405" s="18"/>
      <x:c r="C405" s="18"/>
      <x:c r="D405" s="18" t="str">
        <x:f>IF($C405="","",XLOOKUP($C405,Products!$A$5:$A$34,Products!$B$5:$B$34,""))</x:f>
      </x:c>
      <x:c r="E405" s="18"/>
      <x:c r="F405" s="19" t="str">
        <x:f>IF($C405="","",XLOOKUP($C405,Products!$A$5:$A$34,Products!$E$5:$E$34,""))</x:f>
      </x:c>
      <x:c r="G405" s="19" t="str">
        <x:f>IF(OR($C405="",$E405=""),"",$E405*$F405)</x:f>
      </x:c>
      <x:c r="H405" s="18"/>
    </x:row>
    <x:row r="406" ht="15" hidden="0" customHeight="1">
      <x:c r="A406" s="22"/>
      <x:c r="B406" s="18"/>
      <x:c r="C406" s="18"/>
      <x:c r="D406" s="18" t="str">
        <x:f>IF($C406="","",XLOOKUP($C406,Products!$A$5:$A$34,Products!$B$5:$B$34,""))</x:f>
      </x:c>
      <x:c r="E406" s="18"/>
      <x:c r="F406" s="19" t="str">
        <x:f>IF($C406="","",XLOOKUP($C406,Products!$A$5:$A$34,Products!$E$5:$E$34,""))</x:f>
      </x:c>
      <x:c r="G406" s="19" t="str">
        <x:f>IF(OR($C406="",$E406=""),"",$E406*$F406)</x:f>
      </x:c>
      <x:c r="H406" s="18"/>
    </x:row>
    <x:row r="407" ht="15" hidden="0" customHeight="1">
      <x:c r="A407" s="22"/>
      <x:c r="B407" s="18"/>
      <x:c r="C407" s="18"/>
      <x:c r="D407" s="18" t="str">
        <x:f>IF($C407="","",XLOOKUP($C407,Products!$A$5:$A$34,Products!$B$5:$B$34,""))</x:f>
      </x:c>
      <x:c r="E407" s="18"/>
      <x:c r="F407" s="19" t="str">
        <x:f>IF($C407="","",XLOOKUP($C407,Products!$A$5:$A$34,Products!$E$5:$E$34,""))</x:f>
      </x:c>
      <x:c r="G407" s="19" t="str">
        <x:f>IF(OR($C407="",$E407=""),"",$E407*$F407)</x:f>
      </x:c>
      <x:c r="H407" s="18"/>
    </x:row>
    <x:row r="408" ht="15" hidden="0" customHeight="1">
      <x:c r="A408" s="22"/>
      <x:c r="B408" s="18"/>
      <x:c r="C408" s="18"/>
      <x:c r="D408" s="18" t="str">
        <x:f>IF($C408="","",XLOOKUP($C408,Products!$A$5:$A$34,Products!$B$5:$B$34,""))</x:f>
      </x:c>
      <x:c r="E408" s="18"/>
      <x:c r="F408" s="19" t="str">
        <x:f>IF($C408="","",XLOOKUP($C408,Products!$A$5:$A$34,Products!$E$5:$E$34,""))</x:f>
      </x:c>
      <x:c r="G408" s="19" t="str">
        <x:f>IF(OR($C408="",$E408=""),"",$E408*$F408)</x:f>
      </x:c>
      <x:c r="H408" s="18"/>
    </x:row>
    <x:row r="409" ht="15" hidden="0" customHeight="1">
      <x:c r="A409" s="22"/>
      <x:c r="B409" s="18"/>
      <x:c r="C409" s="18"/>
      <x:c r="D409" s="18" t="str">
        <x:f>IF($C409="","",XLOOKUP($C409,Products!$A$5:$A$34,Products!$B$5:$B$34,""))</x:f>
      </x:c>
      <x:c r="E409" s="18"/>
      <x:c r="F409" s="19" t="str">
        <x:f>IF($C409="","",XLOOKUP($C409,Products!$A$5:$A$34,Products!$E$5:$E$34,""))</x:f>
      </x:c>
      <x:c r="G409" s="19" t="str">
        <x:f>IF(OR($C409="",$E409=""),"",$E409*$F409)</x:f>
      </x:c>
      <x:c r="H409" s="18"/>
    </x:row>
    <x:row r="410" ht="15" hidden="0" customHeight="1">
      <x:c r="A410" s="22"/>
      <x:c r="B410" s="18"/>
      <x:c r="C410" s="18"/>
      <x:c r="D410" s="18" t="str">
        <x:f>IF($C410="","",XLOOKUP($C410,Products!$A$5:$A$34,Products!$B$5:$B$34,""))</x:f>
      </x:c>
      <x:c r="E410" s="18"/>
      <x:c r="F410" s="19" t="str">
        <x:f>IF($C410="","",XLOOKUP($C410,Products!$A$5:$A$34,Products!$E$5:$E$34,""))</x:f>
      </x:c>
      <x:c r="G410" s="19" t="str">
        <x:f>IF(OR($C410="",$E410=""),"",$E410*$F410)</x:f>
      </x:c>
      <x:c r="H410" s="18"/>
    </x:row>
    <x:row r="411" ht="15" hidden="0" customHeight="1">
      <x:c r="A411" s="22"/>
      <x:c r="B411" s="18"/>
      <x:c r="C411" s="18"/>
      <x:c r="D411" s="18" t="str">
        <x:f>IF($C411="","",XLOOKUP($C411,Products!$A$5:$A$34,Products!$B$5:$B$34,""))</x:f>
      </x:c>
      <x:c r="E411" s="18"/>
      <x:c r="F411" s="19" t="str">
        <x:f>IF($C411="","",XLOOKUP($C411,Products!$A$5:$A$34,Products!$E$5:$E$34,""))</x:f>
      </x:c>
      <x:c r="G411" s="19" t="str">
        <x:f>IF(OR($C411="",$E411=""),"",$E411*$F411)</x:f>
      </x:c>
      <x:c r="H411" s="18"/>
    </x:row>
    <x:row r="412" ht="15" hidden="0" customHeight="1">
      <x:c r="A412" s="22"/>
      <x:c r="B412" s="18"/>
      <x:c r="C412" s="18"/>
      <x:c r="D412" s="18" t="str">
        <x:f>IF($C412="","",XLOOKUP($C412,Products!$A$5:$A$34,Products!$B$5:$B$34,""))</x:f>
      </x:c>
      <x:c r="E412" s="18"/>
      <x:c r="F412" s="19" t="str">
        <x:f>IF($C412="","",XLOOKUP($C412,Products!$A$5:$A$34,Products!$E$5:$E$34,""))</x:f>
      </x:c>
      <x:c r="G412" s="19" t="str">
        <x:f>IF(OR($C412="",$E412=""),"",$E412*$F412)</x:f>
      </x:c>
      <x:c r="H412" s="18"/>
    </x:row>
    <x:row r="413" ht="15" hidden="0" customHeight="1">
      <x:c r="A413" s="22"/>
      <x:c r="B413" s="18"/>
      <x:c r="C413" s="18"/>
      <x:c r="D413" s="18" t="str">
        <x:f>IF($C413="","",XLOOKUP($C413,Products!$A$5:$A$34,Products!$B$5:$B$34,""))</x:f>
      </x:c>
      <x:c r="E413" s="18"/>
      <x:c r="F413" s="19" t="str">
        <x:f>IF($C413="","",XLOOKUP($C413,Products!$A$5:$A$34,Products!$E$5:$E$34,""))</x:f>
      </x:c>
      <x:c r="G413" s="19" t="str">
        <x:f>IF(OR($C413="",$E413=""),"",$E413*$F413)</x:f>
      </x:c>
      <x:c r="H413" s="18"/>
    </x:row>
    <x:row r="414" ht="15" hidden="0" customHeight="1">
      <x:c r="A414" s="22"/>
      <x:c r="B414" s="18"/>
      <x:c r="C414" s="18"/>
      <x:c r="D414" s="18" t="str">
        <x:f>IF($C414="","",XLOOKUP($C414,Products!$A$5:$A$34,Products!$B$5:$B$34,""))</x:f>
      </x:c>
      <x:c r="E414" s="18"/>
      <x:c r="F414" s="19" t="str">
        <x:f>IF($C414="","",XLOOKUP($C414,Products!$A$5:$A$34,Products!$E$5:$E$34,""))</x:f>
      </x:c>
      <x:c r="G414" s="19" t="str">
        <x:f>IF(OR($C414="",$E414=""),"",$E414*$F414)</x:f>
      </x:c>
      <x:c r="H414" s="18"/>
    </x:row>
    <x:row r="415" ht="15" hidden="0" customHeight="1">
      <x:c r="A415" s="22"/>
      <x:c r="B415" s="18"/>
      <x:c r="C415" s="18"/>
      <x:c r="D415" s="18" t="str">
        <x:f>IF($C415="","",XLOOKUP($C415,Products!$A$5:$A$34,Products!$B$5:$B$34,""))</x:f>
      </x:c>
      <x:c r="E415" s="18"/>
      <x:c r="F415" s="19" t="str">
        <x:f>IF($C415="","",XLOOKUP($C415,Products!$A$5:$A$34,Products!$E$5:$E$34,""))</x:f>
      </x:c>
      <x:c r="G415" s="19" t="str">
        <x:f>IF(OR($C415="",$E415=""),"",$E415*$F415)</x:f>
      </x:c>
      <x:c r="H415" s="18"/>
    </x:row>
    <x:row r="416" ht="15" hidden="0" customHeight="1">
      <x:c r="A416" s="22"/>
      <x:c r="B416" s="18"/>
      <x:c r="C416" s="18"/>
      <x:c r="D416" s="18" t="str">
        <x:f>IF($C416="","",XLOOKUP($C416,Products!$A$5:$A$34,Products!$B$5:$B$34,""))</x:f>
      </x:c>
      <x:c r="E416" s="18"/>
      <x:c r="F416" s="19" t="str">
        <x:f>IF($C416="","",XLOOKUP($C416,Products!$A$5:$A$34,Products!$E$5:$E$34,""))</x:f>
      </x:c>
      <x:c r="G416" s="19" t="str">
        <x:f>IF(OR($C416="",$E416=""),"",$E416*$F416)</x:f>
      </x:c>
      <x:c r="H416" s="18"/>
    </x:row>
    <x:row r="417" ht="15" hidden="0" customHeight="1">
      <x:c r="A417" s="22"/>
      <x:c r="B417" s="18"/>
      <x:c r="C417" s="18"/>
      <x:c r="D417" s="18" t="str">
        <x:f>IF($C417="","",XLOOKUP($C417,Products!$A$5:$A$34,Products!$B$5:$B$34,""))</x:f>
      </x:c>
      <x:c r="E417" s="18"/>
      <x:c r="F417" s="19" t="str">
        <x:f>IF($C417="","",XLOOKUP($C417,Products!$A$5:$A$34,Products!$E$5:$E$34,""))</x:f>
      </x:c>
      <x:c r="G417" s="19" t="str">
        <x:f>IF(OR($C417="",$E417=""),"",$E417*$F417)</x:f>
      </x:c>
      <x:c r="H417" s="18"/>
    </x:row>
    <x:row r="418" ht="15" hidden="0" customHeight="1">
      <x:c r="A418" s="22"/>
      <x:c r="B418" s="18"/>
      <x:c r="C418" s="18"/>
      <x:c r="D418" s="18" t="str">
        <x:f>IF($C418="","",XLOOKUP($C418,Products!$A$5:$A$34,Products!$B$5:$B$34,""))</x:f>
      </x:c>
      <x:c r="E418" s="18"/>
      <x:c r="F418" s="19" t="str">
        <x:f>IF($C418="","",XLOOKUP($C418,Products!$A$5:$A$34,Products!$E$5:$E$34,""))</x:f>
      </x:c>
      <x:c r="G418" s="19" t="str">
        <x:f>IF(OR($C418="",$E418=""),"",$E418*$F418)</x:f>
      </x:c>
      <x:c r="H418" s="18"/>
    </x:row>
    <x:row r="419" ht="15" hidden="0" customHeight="1">
      <x:c r="A419" s="22"/>
      <x:c r="B419" s="18"/>
      <x:c r="C419" s="18"/>
      <x:c r="D419" s="18" t="str">
        <x:f>IF($C419="","",XLOOKUP($C419,Products!$A$5:$A$34,Products!$B$5:$B$34,""))</x:f>
      </x:c>
      <x:c r="E419" s="18"/>
      <x:c r="F419" s="19" t="str">
        <x:f>IF($C419="","",XLOOKUP($C419,Products!$A$5:$A$34,Products!$E$5:$E$34,""))</x:f>
      </x:c>
      <x:c r="G419" s="19" t="str">
        <x:f>IF(OR($C419="",$E419=""),"",$E419*$F419)</x:f>
      </x:c>
      <x:c r="H419" s="18"/>
    </x:row>
    <x:row r="420" ht="15" hidden="0" customHeight="1">
      <x:c r="A420" s="22"/>
      <x:c r="B420" s="18"/>
      <x:c r="C420" s="18"/>
      <x:c r="D420" s="18" t="str">
        <x:f>IF($C420="","",XLOOKUP($C420,Products!$A$5:$A$34,Products!$B$5:$B$34,""))</x:f>
      </x:c>
      <x:c r="E420" s="18"/>
      <x:c r="F420" s="19" t="str">
        <x:f>IF($C420="","",XLOOKUP($C420,Products!$A$5:$A$34,Products!$E$5:$E$34,""))</x:f>
      </x:c>
      <x:c r="G420" s="19" t="str">
        <x:f>IF(OR($C420="",$E420=""),"",$E420*$F420)</x:f>
      </x:c>
      <x:c r="H420" s="18"/>
    </x:row>
    <x:row r="421" ht="15" hidden="0" customHeight="1">
      <x:c r="A421" s="22"/>
      <x:c r="B421" s="18"/>
      <x:c r="C421" s="18"/>
      <x:c r="D421" s="18" t="str">
        <x:f>IF($C421="","",XLOOKUP($C421,Products!$A$5:$A$34,Products!$B$5:$B$34,""))</x:f>
      </x:c>
      <x:c r="E421" s="18"/>
      <x:c r="F421" s="19" t="str">
        <x:f>IF($C421="","",XLOOKUP($C421,Products!$A$5:$A$34,Products!$E$5:$E$34,""))</x:f>
      </x:c>
      <x:c r="G421" s="19" t="str">
        <x:f>IF(OR($C421="",$E421=""),"",$E421*$F421)</x:f>
      </x:c>
      <x:c r="H421" s="18"/>
    </x:row>
    <x:row r="422" ht="15" hidden="0" customHeight="1">
      <x:c r="A422" s="22"/>
      <x:c r="B422" s="18"/>
      <x:c r="C422" s="18"/>
      <x:c r="D422" s="18" t="str">
        <x:f>IF($C422="","",XLOOKUP($C422,Products!$A$5:$A$34,Products!$B$5:$B$34,""))</x:f>
      </x:c>
      <x:c r="E422" s="18"/>
      <x:c r="F422" s="19" t="str">
        <x:f>IF($C422="","",XLOOKUP($C422,Products!$A$5:$A$34,Products!$E$5:$E$34,""))</x:f>
      </x:c>
      <x:c r="G422" s="19" t="str">
        <x:f>IF(OR($C422="",$E422=""),"",$E422*$F422)</x:f>
      </x:c>
      <x:c r="H422" s="18"/>
    </x:row>
    <x:row r="423" ht="15" hidden="0" customHeight="1">
      <x:c r="A423" s="22"/>
      <x:c r="B423" s="18"/>
      <x:c r="C423" s="18"/>
      <x:c r="D423" s="18" t="str">
        <x:f>IF($C423="","",XLOOKUP($C423,Products!$A$5:$A$34,Products!$B$5:$B$34,""))</x:f>
      </x:c>
      <x:c r="E423" s="18"/>
      <x:c r="F423" s="19" t="str">
        <x:f>IF($C423="","",XLOOKUP($C423,Products!$A$5:$A$34,Products!$E$5:$E$34,""))</x:f>
      </x:c>
      <x:c r="G423" s="19" t="str">
        <x:f>IF(OR($C423="",$E423=""),"",$E423*$F423)</x:f>
      </x:c>
      <x:c r="H423" s="18"/>
    </x:row>
    <x:row r="424" ht="15" hidden="0" customHeight="1">
      <x:c r="A424" s="22"/>
      <x:c r="B424" s="18"/>
      <x:c r="C424" s="18"/>
      <x:c r="D424" s="18" t="str">
        <x:f>IF($C424="","",XLOOKUP($C424,Products!$A$5:$A$34,Products!$B$5:$B$34,""))</x:f>
      </x:c>
      <x:c r="E424" s="18"/>
      <x:c r="F424" s="19" t="str">
        <x:f>IF($C424="","",XLOOKUP($C424,Products!$A$5:$A$34,Products!$E$5:$E$34,""))</x:f>
      </x:c>
      <x:c r="G424" s="19" t="str">
        <x:f>IF(OR($C424="",$E424=""),"",$E424*$F424)</x:f>
      </x:c>
      <x:c r="H424" s="18"/>
    </x:row>
    <x:row r="425" ht="15" hidden="0" customHeight="1">
      <x:c r="A425" s="22"/>
      <x:c r="B425" s="18"/>
      <x:c r="C425" s="18"/>
      <x:c r="D425" s="18" t="str">
        <x:f>IF($C425="","",XLOOKUP($C425,Products!$A$5:$A$34,Products!$B$5:$B$34,""))</x:f>
      </x:c>
      <x:c r="E425" s="18"/>
      <x:c r="F425" s="19" t="str">
        <x:f>IF($C425="","",XLOOKUP($C425,Products!$A$5:$A$34,Products!$E$5:$E$34,""))</x:f>
      </x:c>
      <x:c r="G425" s="19" t="str">
        <x:f>IF(OR($C425="",$E425=""),"",$E425*$F425)</x:f>
      </x:c>
      <x:c r="H425" s="18"/>
    </x:row>
    <x:row r="426" ht="15" hidden="0" customHeight="1">
      <x:c r="A426" s="22"/>
      <x:c r="B426" s="18"/>
      <x:c r="C426" s="18"/>
      <x:c r="D426" s="18" t="str">
        <x:f>IF($C426="","",XLOOKUP($C426,Products!$A$5:$A$34,Products!$B$5:$B$34,""))</x:f>
      </x:c>
      <x:c r="E426" s="18"/>
      <x:c r="F426" s="19" t="str">
        <x:f>IF($C426="","",XLOOKUP($C426,Products!$A$5:$A$34,Products!$E$5:$E$34,""))</x:f>
      </x:c>
      <x:c r="G426" s="19" t="str">
        <x:f>IF(OR($C426="",$E426=""),"",$E426*$F426)</x:f>
      </x:c>
      <x:c r="H426" s="18"/>
    </x:row>
    <x:row r="427" ht="15" hidden="0" customHeight="1">
      <x:c r="A427" s="22"/>
      <x:c r="B427" s="18"/>
      <x:c r="C427" s="18"/>
      <x:c r="D427" s="18" t="str">
        <x:f>IF($C427="","",XLOOKUP($C427,Products!$A$5:$A$34,Products!$B$5:$B$34,""))</x:f>
      </x:c>
      <x:c r="E427" s="18"/>
      <x:c r="F427" s="19" t="str">
        <x:f>IF($C427="","",XLOOKUP($C427,Products!$A$5:$A$34,Products!$E$5:$E$34,""))</x:f>
      </x:c>
      <x:c r="G427" s="19" t="str">
        <x:f>IF(OR($C427="",$E427=""),"",$E427*$F427)</x:f>
      </x:c>
      <x:c r="H427" s="18"/>
    </x:row>
    <x:row r="428" ht="15" hidden="0" customHeight="1">
      <x:c r="A428" s="22"/>
      <x:c r="B428" s="18"/>
      <x:c r="C428" s="18"/>
      <x:c r="D428" s="18" t="str">
        <x:f>IF($C428="","",XLOOKUP($C428,Products!$A$5:$A$34,Products!$B$5:$B$34,""))</x:f>
      </x:c>
      <x:c r="E428" s="18"/>
      <x:c r="F428" s="19" t="str">
        <x:f>IF($C428="","",XLOOKUP($C428,Products!$A$5:$A$34,Products!$E$5:$E$34,""))</x:f>
      </x:c>
      <x:c r="G428" s="19" t="str">
        <x:f>IF(OR($C428="",$E428=""),"",$E428*$F428)</x:f>
      </x:c>
      <x:c r="H428" s="18"/>
    </x:row>
    <x:row r="429" ht="15" hidden="0" customHeight="1">
      <x:c r="A429" s="22"/>
      <x:c r="B429" s="18"/>
      <x:c r="C429" s="18"/>
      <x:c r="D429" s="18" t="str">
        <x:f>IF($C429="","",XLOOKUP($C429,Products!$A$5:$A$34,Products!$B$5:$B$34,""))</x:f>
      </x:c>
      <x:c r="E429" s="18"/>
      <x:c r="F429" s="19" t="str">
        <x:f>IF($C429="","",XLOOKUP($C429,Products!$A$5:$A$34,Products!$E$5:$E$34,""))</x:f>
      </x:c>
      <x:c r="G429" s="19" t="str">
        <x:f>IF(OR($C429="",$E429=""),"",$E429*$F429)</x:f>
      </x:c>
      <x:c r="H429" s="18"/>
    </x:row>
    <x:row r="430" ht="15" hidden="0" customHeight="1">
      <x:c r="A430" s="22"/>
      <x:c r="B430" s="18"/>
      <x:c r="C430" s="18"/>
      <x:c r="D430" s="18" t="str">
        <x:f>IF($C430="","",XLOOKUP($C430,Products!$A$5:$A$34,Products!$B$5:$B$34,""))</x:f>
      </x:c>
      <x:c r="E430" s="18"/>
      <x:c r="F430" s="19" t="str">
        <x:f>IF($C430="","",XLOOKUP($C430,Products!$A$5:$A$34,Products!$E$5:$E$34,""))</x:f>
      </x:c>
      <x:c r="G430" s="19" t="str">
        <x:f>IF(OR($C430="",$E430=""),"",$E430*$F430)</x:f>
      </x:c>
      <x:c r="H430" s="18"/>
    </x:row>
    <x:row r="431" ht="15" hidden="0" customHeight="1">
      <x:c r="A431" s="22"/>
      <x:c r="B431" s="18"/>
      <x:c r="C431" s="18"/>
      <x:c r="D431" s="18" t="str">
        <x:f>IF($C431="","",XLOOKUP($C431,Products!$A$5:$A$34,Products!$B$5:$B$34,""))</x:f>
      </x:c>
      <x:c r="E431" s="18"/>
      <x:c r="F431" s="19" t="str">
        <x:f>IF($C431="","",XLOOKUP($C431,Products!$A$5:$A$34,Products!$E$5:$E$34,""))</x:f>
      </x:c>
      <x:c r="G431" s="19" t="str">
        <x:f>IF(OR($C431="",$E431=""),"",$E431*$F431)</x:f>
      </x:c>
      <x:c r="H431" s="18"/>
    </x:row>
    <x:row r="432" ht="15" hidden="0" customHeight="1">
      <x:c r="A432" s="22"/>
      <x:c r="B432" s="18"/>
      <x:c r="C432" s="18"/>
      <x:c r="D432" s="18" t="str">
        <x:f>IF($C432="","",XLOOKUP($C432,Products!$A$5:$A$34,Products!$B$5:$B$34,""))</x:f>
      </x:c>
      <x:c r="E432" s="18"/>
      <x:c r="F432" s="19" t="str">
        <x:f>IF($C432="","",XLOOKUP($C432,Products!$A$5:$A$34,Products!$E$5:$E$34,""))</x:f>
      </x:c>
      <x:c r="G432" s="19" t="str">
        <x:f>IF(OR($C432="",$E432=""),"",$E432*$F432)</x:f>
      </x:c>
      <x:c r="H432" s="18"/>
    </x:row>
    <x:row r="433" ht="15" hidden="0" customHeight="1">
      <x:c r="A433" s="22"/>
      <x:c r="B433" s="18"/>
      <x:c r="C433" s="18"/>
      <x:c r="D433" s="18" t="str">
        <x:f>IF($C433="","",XLOOKUP($C433,Products!$A$5:$A$34,Products!$B$5:$B$34,""))</x:f>
      </x:c>
      <x:c r="E433" s="18"/>
      <x:c r="F433" s="19" t="str">
        <x:f>IF($C433="","",XLOOKUP($C433,Products!$A$5:$A$34,Products!$E$5:$E$34,""))</x:f>
      </x:c>
      <x:c r="G433" s="19" t="str">
        <x:f>IF(OR($C433="",$E433=""),"",$E433*$F433)</x:f>
      </x:c>
      <x:c r="H433" s="18"/>
    </x:row>
    <x:row r="434" ht="15" hidden="0" customHeight="1">
      <x:c r="A434" s="22"/>
      <x:c r="B434" s="18"/>
      <x:c r="C434" s="18"/>
      <x:c r="D434" s="18" t="str">
        <x:f>IF($C434="","",XLOOKUP($C434,Products!$A$5:$A$34,Products!$B$5:$B$34,""))</x:f>
      </x:c>
      <x:c r="E434" s="18"/>
      <x:c r="F434" s="19" t="str">
        <x:f>IF($C434="","",XLOOKUP($C434,Products!$A$5:$A$34,Products!$E$5:$E$34,""))</x:f>
      </x:c>
      <x:c r="G434" s="19" t="str">
        <x:f>IF(OR($C434="",$E434=""),"",$E434*$F434)</x:f>
      </x:c>
      <x:c r="H434" s="18"/>
    </x:row>
    <x:row r="435" ht="15" hidden="0" customHeight="1">
      <x:c r="A435" s="22"/>
      <x:c r="B435" s="18"/>
      <x:c r="C435" s="18"/>
      <x:c r="D435" s="18" t="str">
        <x:f>IF($C435="","",XLOOKUP($C435,Products!$A$5:$A$34,Products!$B$5:$B$34,""))</x:f>
      </x:c>
      <x:c r="E435" s="18"/>
      <x:c r="F435" s="19" t="str">
        <x:f>IF($C435="","",XLOOKUP($C435,Products!$A$5:$A$34,Products!$E$5:$E$34,""))</x:f>
      </x:c>
      <x:c r="G435" s="19" t="str">
        <x:f>IF(OR($C435="",$E435=""),"",$E435*$F435)</x:f>
      </x:c>
      <x:c r="H435" s="18"/>
    </x:row>
    <x:row r="436" ht="15" hidden="0" customHeight="1">
      <x:c r="A436" s="22"/>
      <x:c r="B436" s="18"/>
      <x:c r="C436" s="18"/>
      <x:c r="D436" s="18" t="str">
        <x:f>IF($C436="","",XLOOKUP($C436,Products!$A$5:$A$34,Products!$B$5:$B$34,""))</x:f>
      </x:c>
      <x:c r="E436" s="18"/>
      <x:c r="F436" s="19" t="str">
        <x:f>IF($C436="","",XLOOKUP($C436,Products!$A$5:$A$34,Products!$E$5:$E$34,""))</x:f>
      </x:c>
      <x:c r="G436" s="19" t="str">
        <x:f>IF(OR($C436="",$E436=""),"",$E436*$F436)</x:f>
      </x:c>
      <x:c r="H436" s="18"/>
    </x:row>
    <x:row r="437" ht="15" hidden="0" customHeight="1">
      <x:c r="A437" s="22"/>
      <x:c r="B437" s="18"/>
      <x:c r="C437" s="18"/>
      <x:c r="D437" s="18" t="str">
        <x:f>IF($C437="","",XLOOKUP($C437,Products!$A$5:$A$34,Products!$B$5:$B$34,""))</x:f>
      </x:c>
      <x:c r="E437" s="18"/>
      <x:c r="F437" s="19" t="str">
        <x:f>IF($C437="","",XLOOKUP($C437,Products!$A$5:$A$34,Products!$E$5:$E$34,""))</x:f>
      </x:c>
      <x:c r="G437" s="19" t="str">
        <x:f>IF(OR($C437="",$E437=""),"",$E437*$F437)</x:f>
      </x:c>
      <x:c r="H437" s="18"/>
    </x:row>
    <x:row r="438" ht="15" hidden="0" customHeight="1">
      <x:c r="A438" s="22"/>
      <x:c r="B438" s="18"/>
      <x:c r="C438" s="18"/>
      <x:c r="D438" s="18" t="str">
        <x:f>IF($C438="","",XLOOKUP($C438,Products!$A$5:$A$34,Products!$B$5:$B$34,""))</x:f>
      </x:c>
      <x:c r="E438" s="18"/>
      <x:c r="F438" s="19" t="str">
        <x:f>IF($C438="","",XLOOKUP($C438,Products!$A$5:$A$34,Products!$E$5:$E$34,""))</x:f>
      </x:c>
      <x:c r="G438" s="19" t="str">
        <x:f>IF(OR($C438="",$E438=""),"",$E438*$F438)</x:f>
      </x:c>
      <x:c r="H438" s="18"/>
    </x:row>
    <x:row r="439" ht="15" hidden="0" customHeight="1">
      <x:c r="A439" s="22"/>
      <x:c r="B439" s="18"/>
      <x:c r="C439" s="18"/>
      <x:c r="D439" s="18" t="str">
        <x:f>IF($C439="","",XLOOKUP($C439,Products!$A$5:$A$34,Products!$B$5:$B$34,""))</x:f>
      </x:c>
      <x:c r="E439" s="18"/>
      <x:c r="F439" s="19" t="str">
        <x:f>IF($C439="","",XLOOKUP($C439,Products!$A$5:$A$34,Products!$E$5:$E$34,""))</x:f>
      </x:c>
      <x:c r="G439" s="19" t="str">
        <x:f>IF(OR($C439="",$E439=""),"",$E439*$F439)</x:f>
      </x:c>
      <x:c r="H439" s="18"/>
    </x:row>
    <x:row r="440" ht="15" hidden="0" customHeight="1">
      <x:c r="A440" s="22"/>
      <x:c r="B440" s="18"/>
      <x:c r="C440" s="18"/>
      <x:c r="D440" s="18" t="str">
        <x:f>IF($C440="","",XLOOKUP($C440,Products!$A$5:$A$34,Products!$B$5:$B$34,""))</x:f>
      </x:c>
      <x:c r="E440" s="18"/>
      <x:c r="F440" s="19" t="str">
        <x:f>IF($C440="","",XLOOKUP($C440,Products!$A$5:$A$34,Products!$E$5:$E$34,""))</x:f>
      </x:c>
      <x:c r="G440" s="19" t="str">
        <x:f>IF(OR($C440="",$E440=""),"",$E440*$F440)</x:f>
      </x:c>
      <x:c r="H440" s="18"/>
    </x:row>
    <x:row r="441" ht="15" hidden="0" customHeight="1">
      <x:c r="A441" s="22"/>
      <x:c r="B441" s="18"/>
      <x:c r="C441" s="18"/>
      <x:c r="D441" s="18" t="str">
        <x:f>IF($C441="","",XLOOKUP($C441,Products!$A$5:$A$34,Products!$B$5:$B$34,""))</x:f>
      </x:c>
      <x:c r="E441" s="18"/>
      <x:c r="F441" s="19" t="str">
        <x:f>IF($C441="","",XLOOKUP($C441,Products!$A$5:$A$34,Products!$E$5:$E$34,""))</x:f>
      </x:c>
      <x:c r="G441" s="19" t="str">
        <x:f>IF(OR($C441="",$E441=""),"",$E441*$F441)</x:f>
      </x:c>
      <x:c r="H441" s="18"/>
    </x:row>
    <x:row r="442" ht="15" hidden="0" customHeight="1">
      <x:c r="A442" s="22"/>
      <x:c r="B442" s="18"/>
      <x:c r="C442" s="18"/>
      <x:c r="D442" s="18" t="str">
        <x:f>IF($C442="","",XLOOKUP($C442,Products!$A$5:$A$34,Products!$B$5:$B$34,""))</x:f>
      </x:c>
      <x:c r="E442" s="18"/>
      <x:c r="F442" s="19" t="str">
        <x:f>IF($C442="","",XLOOKUP($C442,Products!$A$5:$A$34,Products!$E$5:$E$34,""))</x:f>
      </x:c>
      <x:c r="G442" s="19" t="str">
        <x:f>IF(OR($C442="",$E442=""),"",$E442*$F442)</x:f>
      </x:c>
      <x:c r="H442" s="18"/>
    </x:row>
    <x:row r="443" ht="15" hidden="0" customHeight="1">
      <x:c r="A443" s="22"/>
      <x:c r="B443" s="18"/>
      <x:c r="C443" s="18"/>
      <x:c r="D443" s="18" t="str">
        <x:f>IF($C443="","",XLOOKUP($C443,Products!$A$5:$A$34,Products!$B$5:$B$34,""))</x:f>
      </x:c>
      <x:c r="E443" s="18"/>
      <x:c r="F443" s="19" t="str">
        <x:f>IF($C443="","",XLOOKUP($C443,Products!$A$5:$A$34,Products!$E$5:$E$34,""))</x:f>
      </x:c>
      <x:c r="G443" s="19" t="str">
        <x:f>IF(OR($C443="",$E443=""),"",$E443*$F443)</x:f>
      </x:c>
      <x:c r="H443" s="18"/>
    </x:row>
    <x:row r="444" ht="15" hidden="0" customHeight="1">
      <x:c r="A444" s="22"/>
      <x:c r="B444" s="18"/>
      <x:c r="C444" s="18"/>
      <x:c r="D444" s="18" t="str">
        <x:f>IF($C444="","",XLOOKUP($C444,Products!$A$5:$A$34,Products!$B$5:$B$34,""))</x:f>
      </x:c>
      <x:c r="E444" s="18"/>
      <x:c r="F444" s="19" t="str">
        <x:f>IF($C444="","",XLOOKUP($C444,Products!$A$5:$A$34,Products!$E$5:$E$34,""))</x:f>
      </x:c>
      <x:c r="G444" s="19" t="str">
        <x:f>IF(OR($C444="",$E444=""),"",$E444*$F444)</x:f>
      </x:c>
      <x:c r="H444" s="18"/>
    </x:row>
    <x:row r="445" ht="15" hidden="0" customHeight="1">
      <x:c r="A445" s="22"/>
      <x:c r="B445" s="18"/>
      <x:c r="C445" s="18"/>
      <x:c r="D445" s="18" t="str">
        <x:f>IF($C445="","",XLOOKUP($C445,Products!$A$5:$A$34,Products!$B$5:$B$34,""))</x:f>
      </x:c>
      <x:c r="E445" s="18"/>
      <x:c r="F445" s="19" t="str">
        <x:f>IF($C445="","",XLOOKUP($C445,Products!$A$5:$A$34,Products!$E$5:$E$34,""))</x:f>
      </x:c>
      <x:c r="G445" s="19" t="str">
        <x:f>IF(OR($C445="",$E445=""),"",$E445*$F445)</x:f>
      </x:c>
      <x:c r="H445" s="18"/>
    </x:row>
    <x:row r="446" ht="15" hidden="0" customHeight="1">
      <x:c r="A446" s="22"/>
      <x:c r="B446" s="18"/>
      <x:c r="C446" s="18"/>
      <x:c r="D446" s="18" t="str">
        <x:f>IF($C446="","",XLOOKUP($C446,Products!$A$5:$A$34,Products!$B$5:$B$34,""))</x:f>
      </x:c>
      <x:c r="E446" s="18"/>
      <x:c r="F446" s="19" t="str">
        <x:f>IF($C446="","",XLOOKUP($C446,Products!$A$5:$A$34,Products!$E$5:$E$34,""))</x:f>
      </x:c>
      <x:c r="G446" s="19" t="str">
        <x:f>IF(OR($C446="",$E446=""),"",$E446*$F446)</x:f>
      </x:c>
      <x:c r="H446" s="18"/>
    </x:row>
    <x:row r="447" ht="15" hidden="0" customHeight="1">
      <x:c r="A447" s="22"/>
      <x:c r="B447" s="18"/>
      <x:c r="C447" s="18"/>
      <x:c r="D447" s="18" t="str">
        <x:f>IF($C447="","",XLOOKUP($C447,Products!$A$5:$A$34,Products!$B$5:$B$34,""))</x:f>
      </x:c>
      <x:c r="E447" s="18"/>
      <x:c r="F447" s="19" t="str">
        <x:f>IF($C447="","",XLOOKUP($C447,Products!$A$5:$A$34,Products!$E$5:$E$34,""))</x:f>
      </x:c>
      <x:c r="G447" s="19" t="str">
        <x:f>IF(OR($C447="",$E447=""),"",$E447*$F447)</x:f>
      </x:c>
      <x:c r="H447" s="18"/>
    </x:row>
    <x:row r="448" ht="15" hidden="0" customHeight="1">
      <x:c r="A448" s="22"/>
      <x:c r="B448" s="18"/>
      <x:c r="C448" s="18"/>
      <x:c r="D448" s="18" t="str">
        <x:f>IF($C448="","",XLOOKUP($C448,Products!$A$5:$A$34,Products!$B$5:$B$34,""))</x:f>
      </x:c>
      <x:c r="E448" s="18"/>
      <x:c r="F448" s="19" t="str">
        <x:f>IF($C448="","",XLOOKUP($C448,Products!$A$5:$A$34,Products!$E$5:$E$34,""))</x:f>
      </x:c>
      <x:c r="G448" s="19" t="str">
        <x:f>IF(OR($C448="",$E448=""),"",$E448*$F448)</x:f>
      </x:c>
      <x:c r="H448" s="18"/>
    </x:row>
    <x:row r="449" ht="15" hidden="0" customHeight="1">
      <x:c r="A449" s="22"/>
      <x:c r="B449" s="18"/>
      <x:c r="C449" s="18"/>
      <x:c r="D449" s="18" t="str">
        <x:f>IF($C449="","",XLOOKUP($C449,Products!$A$5:$A$34,Products!$B$5:$B$34,""))</x:f>
      </x:c>
      <x:c r="E449" s="18"/>
      <x:c r="F449" s="19" t="str">
        <x:f>IF($C449="","",XLOOKUP($C449,Products!$A$5:$A$34,Products!$E$5:$E$34,""))</x:f>
      </x:c>
      <x:c r="G449" s="19" t="str">
        <x:f>IF(OR($C449="",$E449=""),"",$E449*$F449)</x:f>
      </x:c>
      <x:c r="H449" s="18"/>
    </x:row>
    <x:row r="450" ht="15" hidden="0" customHeight="1">
      <x:c r="A450" s="22"/>
      <x:c r="B450" s="18"/>
      <x:c r="C450" s="18"/>
      <x:c r="D450" s="18" t="str">
        <x:f>IF($C450="","",XLOOKUP($C450,Products!$A$5:$A$34,Products!$B$5:$B$34,""))</x:f>
      </x:c>
      <x:c r="E450" s="18"/>
      <x:c r="F450" s="19" t="str">
        <x:f>IF($C450="","",XLOOKUP($C450,Products!$A$5:$A$34,Products!$E$5:$E$34,""))</x:f>
      </x:c>
      <x:c r="G450" s="19" t="str">
        <x:f>IF(OR($C450="",$E450=""),"",$E450*$F450)</x:f>
      </x:c>
      <x:c r="H450" s="18"/>
    </x:row>
    <x:row r="451" ht="15" hidden="0" customHeight="1">
      <x:c r="A451" s="22"/>
      <x:c r="B451" s="18"/>
      <x:c r="C451" s="18"/>
      <x:c r="D451" s="18" t="str">
        <x:f>IF($C451="","",XLOOKUP($C451,Products!$A$5:$A$34,Products!$B$5:$B$34,""))</x:f>
      </x:c>
      <x:c r="E451" s="18"/>
      <x:c r="F451" s="19" t="str">
        <x:f>IF($C451="","",XLOOKUP($C451,Products!$A$5:$A$34,Products!$E$5:$E$34,""))</x:f>
      </x:c>
      <x:c r="G451" s="19" t="str">
        <x:f>IF(OR($C451="",$E451=""),"",$E451*$F451)</x:f>
      </x:c>
      <x:c r="H451" s="18"/>
    </x:row>
    <x:row r="452" ht="15" hidden="0" customHeight="1">
      <x:c r="A452" s="22"/>
      <x:c r="B452" s="18"/>
      <x:c r="C452" s="18"/>
      <x:c r="D452" s="18" t="str">
        <x:f>IF($C452="","",XLOOKUP($C452,Products!$A$5:$A$34,Products!$B$5:$B$34,""))</x:f>
      </x:c>
      <x:c r="E452" s="18"/>
      <x:c r="F452" s="19" t="str">
        <x:f>IF($C452="","",XLOOKUP($C452,Products!$A$5:$A$34,Products!$E$5:$E$34,""))</x:f>
      </x:c>
      <x:c r="G452" s="19" t="str">
        <x:f>IF(OR($C452="",$E452=""),"",$E452*$F452)</x:f>
      </x:c>
      <x:c r="H452" s="18"/>
    </x:row>
    <x:row r="453" ht="15" hidden="0" customHeight="1">
      <x:c r="A453" s="22"/>
      <x:c r="B453" s="18"/>
      <x:c r="C453" s="18"/>
      <x:c r="D453" s="18" t="str">
        <x:f>IF($C453="","",XLOOKUP($C453,Products!$A$5:$A$34,Products!$B$5:$B$34,""))</x:f>
      </x:c>
      <x:c r="E453" s="18"/>
      <x:c r="F453" s="19" t="str">
        <x:f>IF($C453="","",XLOOKUP($C453,Products!$A$5:$A$34,Products!$E$5:$E$34,""))</x:f>
      </x:c>
      <x:c r="G453" s="19" t="str">
        <x:f>IF(OR($C453="",$E453=""),"",$E453*$F453)</x:f>
      </x:c>
      <x:c r="H453" s="18"/>
    </x:row>
    <x:row r="454" ht="15" hidden="0" customHeight="1">
      <x:c r="A454" s="22"/>
      <x:c r="B454" s="18"/>
      <x:c r="C454" s="18"/>
      <x:c r="D454" s="18" t="str">
        <x:f>IF($C454="","",XLOOKUP($C454,Products!$A$5:$A$34,Products!$B$5:$B$34,""))</x:f>
      </x:c>
      <x:c r="E454" s="18"/>
      <x:c r="F454" s="19" t="str">
        <x:f>IF($C454="","",XLOOKUP($C454,Products!$A$5:$A$34,Products!$E$5:$E$34,""))</x:f>
      </x:c>
      <x:c r="G454" s="19" t="str">
        <x:f>IF(OR($C454="",$E454=""),"",$E454*$F454)</x:f>
      </x:c>
      <x:c r="H454" s="18"/>
    </x:row>
    <x:row r="455" ht="15" hidden="0" customHeight="1">
      <x:c r="A455" s="22"/>
      <x:c r="B455" s="18"/>
      <x:c r="C455" s="18"/>
      <x:c r="D455" s="18" t="str">
        <x:f>IF($C455="","",XLOOKUP($C455,Products!$A$5:$A$34,Products!$B$5:$B$34,""))</x:f>
      </x:c>
      <x:c r="E455" s="18"/>
      <x:c r="F455" s="19" t="str">
        <x:f>IF($C455="","",XLOOKUP($C455,Products!$A$5:$A$34,Products!$E$5:$E$34,""))</x:f>
      </x:c>
      <x:c r="G455" s="19" t="str">
        <x:f>IF(OR($C455="",$E455=""),"",$E455*$F455)</x:f>
      </x:c>
      <x:c r="H455" s="18"/>
    </x:row>
    <x:row r="456" ht="15" hidden="0" customHeight="1">
      <x:c r="A456" s="22"/>
      <x:c r="B456" s="18"/>
      <x:c r="C456" s="18"/>
      <x:c r="D456" s="18" t="str">
        <x:f>IF($C456="","",XLOOKUP($C456,Products!$A$5:$A$34,Products!$B$5:$B$34,""))</x:f>
      </x:c>
      <x:c r="E456" s="18"/>
      <x:c r="F456" s="19" t="str">
        <x:f>IF($C456="","",XLOOKUP($C456,Products!$A$5:$A$34,Products!$E$5:$E$34,""))</x:f>
      </x:c>
      <x:c r="G456" s="19" t="str">
        <x:f>IF(OR($C456="",$E456=""),"",$E456*$F456)</x:f>
      </x:c>
      <x:c r="H456" s="18"/>
    </x:row>
    <x:row r="457" ht="15" hidden="0" customHeight="1">
      <x:c r="A457" s="22"/>
      <x:c r="B457" s="18"/>
      <x:c r="C457" s="18"/>
      <x:c r="D457" s="18" t="str">
        <x:f>IF($C457="","",XLOOKUP($C457,Products!$A$5:$A$34,Products!$B$5:$B$34,""))</x:f>
      </x:c>
      <x:c r="E457" s="18"/>
      <x:c r="F457" s="19" t="str">
        <x:f>IF($C457="","",XLOOKUP($C457,Products!$A$5:$A$34,Products!$E$5:$E$34,""))</x:f>
      </x:c>
      <x:c r="G457" s="19" t="str">
        <x:f>IF(OR($C457="",$E457=""),"",$E457*$F457)</x:f>
      </x:c>
      <x:c r="H457" s="18"/>
    </x:row>
    <x:row r="458" ht="15" hidden="0" customHeight="1">
      <x:c r="A458" s="22"/>
      <x:c r="B458" s="18"/>
      <x:c r="C458" s="18"/>
      <x:c r="D458" s="18" t="str">
        <x:f>IF($C458="","",XLOOKUP($C458,Products!$A$5:$A$34,Products!$B$5:$B$34,""))</x:f>
      </x:c>
      <x:c r="E458" s="18"/>
      <x:c r="F458" s="19" t="str">
        <x:f>IF($C458="","",XLOOKUP($C458,Products!$A$5:$A$34,Products!$E$5:$E$34,""))</x:f>
      </x:c>
      <x:c r="G458" s="19" t="str">
        <x:f>IF(OR($C458="",$E458=""),"",$E458*$F458)</x:f>
      </x:c>
      <x:c r="H458" s="18"/>
    </x:row>
    <x:row r="459" ht="15" hidden="0" customHeight="1">
      <x:c r="A459" s="22"/>
      <x:c r="B459" s="18"/>
      <x:c r="C459" s="18"/>
      <x:c r="D459" s="18" t="str">
        <x:f>IF($C459="","",XLOOKUP($C459,Products!$A$5:$A$34,Products!$B$5:$B$34,""))</x:f>
      </x:c>
      <x:c r="E459" s="18"/>
      <x:c r="F459" s="19" t="str">
        <x:f>IF($C459="","",XLOOKUP($C459,Products!$A$5:$A$34,Products!$E$5:$E$34,""))</x:f>
      </x:c>
      <x:c r="G459" s="19" t="str">
        <x:f>IF(OR($C459="",$E459=""),"",$E459*$F459)</x:f>
      </x:c>
      <x:c r="H459" s="18"/>
    </x:row>
    <x:row r="460" ht="15" hidden="0" customHeight="1">
      <x:c r="A460" s="22"/>
      <x:c r="B460" s="18"/>
      <x:c r="C460" s="18"/>
      <x:c r="D460" s="18" t="str">
        <x:f>IF($C460="","",XLOOKUP($C460,Products!$A$5:$A$34,Products!$B$5:$B$34,""))</x:f>
      </x:c>
      <x:c r="E460" s="18"/>
      <x:c r="F460" s="19" t="str">
        <x:f>IF($C460="","",XLOOKUP($C460,Products!$A$5:$A$34,Products!$E$5:$E$34,""))</x:f>
      </x:c>
      <x:c r="G460" s="19" t="str">
        <x:f>IF(OR($C460="",$E460=""),"",$E460*$F460)</x:f>
      </x:c>
      <x:c r="H460" s="18"/>
    </x:row>
    <x:row r="461" ht="15" hidden="0" customHeight="1">
      <x:c r="A461" s="22"/>
      <x:c r="B461" s="18"/>
      <x:c r="C461" s="18"/>
      <x:c r="D461" s="18" t="str">
        <x:f>IF($C461="","",XLOOKUP($C461,Products!$A$5:$A$34,Products!$B$5:$B$34,""))</x:f>
      </x:c>
      <x:c r="E461" s="18"/>
      <x:c r="F461" s="19" t="str">
        <x:f>IF($C461="","",XLOOKUP($C461,Products!$A$5:$A$34,Products!$E$5:$E$34,""))</x:f>
      </x:c>
      <x:c r="G461" s="19" t="str">
        <x:f>IF(OR($C461="",$E461=""),"",$E461*$F461)</x:f>
      </x:c>
      <x:c r="H461" s="18"/>
    </x:row>
    <x:row r="462" ht="15" hidden="0" customHeight="1">
      <x:c r="A462" s="22"/>
      <x:c r="B462" s="18"/>
      <x:c r="C462" s="18"/>
      <x:c r="D462" s="18" t="str">
        <x:f>IF($C462="","",XLOOKUP($C462,Products!$A$5:$A$34,Products!$B$5:$B$34,""))</x:f>
      </x:c>
      <x:c r="E462" s="18"/>
      <x:c r="F462" s="19" t="str">
        <x:f>IF($C462="","",XLOOKUP($C462,Products!$A$5:$A$34,Products!$E$5:$E$34,""))</x:f>
      </x:c>
      <x:c r="G462" s="19" t="str">
        <x:f>IF(OR($C462="",$E462=""),"",$E462*$F462)</x:f>
      </x:c>
      <x:c r="H462" s="18"/>
    </x:row>
    <x:row r="463" ht="15" hidden="0" customHeight="1">
      <x:c r="A463" s="22"/>
      <x:c r="B463" s="18"/>
      <x:c r="C463" s="18"/>
      <x:c r="D463" s="18" t="str">
        <x:f>IF($C463="","",XLOOKUP($C463,Products!$A$5:$A$34,Products!$B$5:$B$34,""))</x:f>
      </x:c>
      <x:c r="E463" s="18"/>
      <x:c r="F463" s="19" t="str">
        <x:f>IF($C463="","",XLOOKUP($C463,Products!$A$5:$A$34,Products!$E$5:$E$34,""))</x:f>
      </x:c>
      <x:c r="G463" s="19" t="str">
        <x:f>IF(OR($C463="",$E463=""),"",$E463*$F463)</x:f>
      </x:c>
      <x:c r="H463" s="18"/>
    </x:row>
    <x:row r="464" ht="15" hidden="0" customHeight="1">
      <x:c r="A464" s="22"/>
      <x:c r="B464" s="18"/>
      <x:c r="C464" s="18"/>
      <x:c r="D464" s="18" t="str">
        <x:f>IF($C464="","",XLOOKUP($C464,Products!$A$5:$A$34,Products!$B$5:$B$34,""))</x:f>
      </x:c>
      <x:c r="E464" s="18"/>
      <x:c r="F464" s="19" t="str">
        <x:f>IF($C464="","",XLOOKUP($C464,Products!$A$5:$A$34,Products!$E$5:$E$34,""))</x:f>
      </x:c>
      <x:c r="G464" s="19" t="str">
        <x:f>IF(OR($C464="",$E464=""),"",$E464*$F464)</x:f>
      </x:c>
      <x:c r="H464" s="18"/>
    </x:row>
    <x:row r="465" ht="15" hidden="0" customHeight="1">
      <x:c r="A465" s="22"/>
      <x:c r="B465" s="18"/>
      <x:c r="C465" s="18"/>
      <x:c r="D465" s="18" t="str">
        <x:f>IF($C465="","",XLOOKUP($C465,Products!$A$5:$A$34,Products!$B$5:$B$34,""))</x:f>
      </x:c>
      <x:c r="E465" s="18"/>
      <x:c r="F465" s="19" t="str">
        <x:f>IF($C465="","",XLOOKUP($C465,Products!$A$5:$A$34,Products!$E$5:$E$34,""))</x:f>
      </x:c>
      <x:c r="G465" s="19" t="str">
        <x:f>IF(OR($C465="",$E465=""),"",$E465*$F465)</x:f>
      </x:c>
      <x:c r="H465" s="18"/>
    </x:row>
    <x:row r="466" ht="15" hidden="0" customHeight="1">
      <x:c r="A466" s="22"/>
      <x:c r="B466" s="18"/>
      <x:c r="C466" s="18"/>
      <x:c r="D466" s="18" t="str">
        <x:f>IF($C466="","",XLOOKUP($C466,Products!$A$5:$A$34,Products!$B$5:$B$34,""))</x:f>
      </x:c>
      <x:c r="E466" s="18"/>
      <x:c r="F466" s="19" t="str">
        <x:f>IF($C466="","",XLOOKUP($C466,Products!$A$5:$A$34,Products!$E$5:$E$34,""))</x:f>
      </x:c>
      <x:c r="G466" s="19" t="str">
        <x:f>IF(OR($C466="",$E466=""),"",$E466*$F466)</x:f>
      </x:c>
      <x:c r="H466" s="18"/>
    </x:row>
    <x:row r="467" ht="15" hidden="0" customHeight="1">
      <x:c r="A467" s="22"/>
      <x:c r="B467" s="18"/>
      <x:c r="C467" s="18"/>
      <x:c r="D467" s="18" t="str">
        <x:f>IF($C467="","",XLOOKUP($C467,Products!$A$5:$A$34,Products!$B$5:$B$34,""))</x:f>
      </x:c>
      <x:c r="E467" s="18"/>
      <x:c r="F467" s="19" t="str">
        <x:f>IF($C467="","",XLOOKUP($C467,Products!$A$5:$A$34,Products!$E$5:$E$34,""))</x:f>
      </x:c>
      <x:c r="G467" s="19" t="str">
        <x:f>IF(OR($C467="",$E467=""),"",$E467*$F467)</x:f>
      </x:c>
      <x:c r="H467" s="18"/>
    </x:row>
    <x:row r="468" ht="15" hidden="0" customHeight="1">
      <x:c r="A468" s="22"/>
      <x:c r="B468" s="18"/>
      <x:c r="C468" s="18"/>
      <x:c r="D468" s="18" t="str">
        <x:f>IF($C468="","",XLOOKUP($C468,Products!$A$5:$A$34,Products!$B$5:$B$34,""))</x:f>
      </x:c>
      <x:c r="E468" s="18"/>
      <x:c r="F468" s="19" t="str">
        <x:f>IF($C468="","",XLOOKUP($C468,Products!$A$5:$A$34,Products!$E$5:$E$34,""))</x:f>
      </x:c>
      <x:c r="G468" s="19" t="str">
        <x:f>IF(OR($C468="",$E468=""),"",$E468*$F468)</x:f>
      </x:c>
      <x:c r="H468" s="18"/>
    </x:row>
    <x:row r="469" ht="15" hidden="0" customHeight="1">
      <x:c r="A469" s="22"/>
      <x:c r="B469" s="18"/>
      <x:c r="C469" s="18"/>
      <x:c r="D469" s="18" t="str">
        <x:f>IF($C469="","",XLOOKUP($C469,Products!$A$5:$A$34,Products!$B$5:$B$34,""))</x:f>
      </x:c>
      <x:c r="E469" s="18"/>
      <x:c r="F469" s="19" t="str">
        <x:f>IF($C469="","",XLOOKUP($C469,Products!$A$5:$A$34,Products!$E$5:$E$34,""))</x:f>
      </x:c>
      <x:c r="G469" s="19" t="str">
        <x:f>IF(OR($C469="",$E469=""),"",$E469*$F469)</x:f>
      </x:c>
      <x:c r="H469" s="18"/>
    </x:row>
    <x:row r="470" ht="15" hidden="0" customHeight="1">
      <x:c r="A470" s="22"/>
      <x:c r="B470" s="18"/>
      <x:c r="C470" s="18"/>
      <x:c r="D470" s="18" t="str">
        <x:f>IF($C470="","",XLOOKUP($C470,Products!$A$5:$A$34,Products!$B$5:$B$34,""))</x:f>
      </x:c>
      <x:c r="E470" s="18"/>
      <x:c r="F470" s="19" t="str">
        <x:f>IF($C470="","",XLOOKUP($C470,Products!$A$5:$A$34,Products!$E$5:$E$34,""))</x:f>
      </x:c>
      <x:c r="G470" s="19" t="str">
        <x:f>IF(OR($C470="",$E470=""),"",$E470*$F470)</x:f>
      </x:c>
      <x:c r="H470" s="18"/>
    </x:row>
    <x:row r="471" ht="15" hidden="0" customHeight="1">
      <x:c r="A471" s="22"/>
      <x:c r="B471" s="18"/>
      <x:c r="C471" s="18"/>
      <x:c r="D471" s="18" t="str">
        <x:f>IF($C471="","",XLOOKUP($C471,Products!$A$5:$A$34,Products!$B$5:$B$34,""))</x:f>
      </x:c>
      <x:c r="E471" s="18"/>
      <x:c r="F471" s="19" t="str">
        <x:f>IF($C471="","",XLOOKUP($C471,Products!$A$5:$A$34,Products!$E$5:$E$34,""))</x:f>
      </x:c>
      <x:c r="G471" s="19" t="str">
        <x:f>IF(OR($C471="",$E471=""),"",$E471*$F471)</x:f>
      </x:c>
      <x:c r="H471" s="18"/>
    </x:row>
    <x:row r="472" ht="15" hidden="0" customHeight="1">
      <x:c r="A472" s="22"/>
      <x:c r="B472" s="18"/>
      <x:c r="C472" s="18"/>
      <x:c r="D472" s="18" t="str">
        <x:f>IF($C472="","",XLOOKUP($C472,Products!$A$5:$A$34,Products!$B$5:$B$34,""))</x:f>
      </x:c>
      <x:c r="E472" s="18"/>
      <x:c r="F472" s="19" t="str">
        <x:f>IF($C472="","",XLOOKUP($C472,Products!$A$5:$A$34,Products!$E$5:$E$34,""))</x:f>
      </x:c>
      <x:c r="G472" s="19" t="str">
        <x:f>IF(OR($C472="",$E472=""),"",$E472*$F472)</x:f>
      </x:c>
      <x:c r="H472" s="18"/>
    </x:row>
    <x:row r="473" ht="15" hidden="0" customHeight="1">
      <x:c r="A473" s="22"/>
      <x:c r="B473" s="18"/>
      <x:c r="C473" s="18"/>
      <x:c r="D473" s="18" t="str">
        <x:f>IF($C473="","",XLOOKUP($C473,Products!$A$5:$A$34,Products!$B$5:$B$34,""))</x:f>
      </x:c>
      <x:c r="E473" s="18"/>
      <x:c r="F473" s="19" t="str">
        <x:f>IF($C473="","",XLOOKUP($C473,Products!$A$5:$A$34,Products!$E$5:$E$34,""))</x:f>
      </x:c>
      <x:c r="G473" s="19" t="str">
        <x:f>IF(OR($C473="",$E473=""),"",$E473*$F473)</x:f>
      </x:c>
      <x:c r="H473" s="18"/>
    </x:row>
    <x:row r="474" ht="15" hidden="0" customHeight="1">
      <x:c r="A474" s="22"/>
      <x:c r="B474" s="18"/>
      <x:c r="C474" s="18"/>
      <x:c r="D474" s="18" t="str">
        <x:f>IF($C474="","",XLOOKUP($C474,Products!$A$5:$A$34,Products!$B$5:$B$34,""))</x:f>
      </x:c>
      <x:c r="E474" s="18"/>
      <x:c r="F474" s="19" t="str">
        <x:f>IF($C474="","",XLOOKUP($C474,Products!$A$5:$A$34,Products!$E$5:$E$34,""))</x:f>
      </x:c>
      <x:c r="G474" s="19" t="str">
        <x:f>IF(OR($C474="",$E474=""),"",$E474*$F474)</x:f>
      </x:c>
      <x:c r="H474" s="18"/>
    </x:row>
    <x:row r="475" ht="15" hidden="0" customHeight="1">
      <x:c r="A475" s="22"/>
      <x:c r="B475" s="18"/>
      <x:c r="C475" s="18"/>
      <x:c r="D475" s="18" t="str">
        <x:f>IF($C475="","",XLOOKUP($C475,Products!$A$5:$A$34,Products!$B$5:$B$34,""))</x:f>
      </x:c>
      <x:c r="E475" s="18"/>
      <x:c r="F475" s="19" t="str">
        <x:f>IF($C475="","",XLOOKUP($C475,Products!$A$5:$A$34,Products!$E$5:$E$34,""))</x:f>
      </x:c>
      <x:c r="G475" s="19" t="str">
        <x:f>IF(OR($C475="",$E475=""),"",$E475*$F475)</x:f>
      </x:c>
      <x:c r="H475" s="18"/>
    </x:row>
    <x:row r="476" ht="15" hidden="0" customHeight="1">
      <x:c r="A476" s="22"/>
      <x:c r="B476" s="18"/>
      <x:c r="C476" s="18"/>
      <x:c r="D476" s="18" t="str">
        <x:f>IF($C476="","",XLOOKUP($C476,Products!$A$5:$A$34,Products!$B$5:$B$34,""))</x:f>
      </x:c>
      <x:c r="E476" s="18"/>
      <x:c r="F476" s="19" t="str">
        <x:f>IF($C476="","",XLOOKUP($C476,Products!$A$5:$A$34,Products!$E$5:$E$34,""))</x:f>
      </x:c>
      <x:c r="G476" s="19" t="str">
        <x:f>IF(OR($C476="",$E476=""),"",$E476*$F476)</x:f>
      </x:c>
      <x:c r="H476" s="18"/>
    </x:row>
    <x:row r="477" ht="15" hidden="0" customHeight="1">
      <x:c r="A477" s="22"/>
      <x:c r="B477" s="18"/>
      <x:c r="C477" s="18"/>
      <x:c r="D477" s="18" t="str">
        <x:f>IF($C477="","",XLOOKUP($C477,Products!$A$5:$A$34,Products!$B$5:$B$34,""))</x:f>
      </x:c>
      <x:c r="E477" s="18"/>
      <x:c r="F477" s="19" t="str">
        <x:f>IF($C477="","",XLOOKUP($C477,Products!$A$5:$A$34,Products!$E$5:$E$34,""))</x:f>
      </x:c>
      <x:c r="G477" s="19" t="str">
        <x:f>IF(OR($C477="",$E477=""),"",$E477*$F477)</x:f>
      </x:c>
      <x:c r="H477" s="18"/>
    </x:row>
    <x:row r="478" ht="15" hidden="0" customHeight="1">
      <x:c r="A478" s="22"/>
      <x:c r="B478" s="18"/>
      <x:c r="C478" s="18"/>
      <x:c r="D478" s="18" t="str">
        <x:f>IF($C478="","",XLOOKUP($C478,Products!$A$5:$A$34,Products!$B$5:$B$34,""))</x:f>
      </x:c>
      <x:c r="E478" s="18"/>
      <x:c r="F478" s="19" t="str">
        <x:f>IF($C478="","",XLOOKUP($C478,Products!$A$5:$A$34,Products!$E$5:$E$34,""))</x:f>
      </x:c>
      <x:c r="G478" s="19" t="str">
        <x:f>IF(OR($C478="",$E478=""),"",$E478*$F478)</x:f>
      </x:c>
      <x:c r="H478" s="18"/>
    </x:row>
    <x:row r="479" ht="15" hidden="0" customHeight="1">
      <x:c r="A479" s="22"/>
      <x:c r="B479" s="18"/>
      <x:c r="C479" s="18"/>
      <x:c r="D479" s="18" t="str">
        <x:f>IF($C479="","",XLOOKUP($C479,Products!$A$5:$A$34,Products!$B$5:$B$34,""))</x:f>
      </x:c>
      <x:c r="E479" s="18"/>
      <x:c r="F479" s="19" t="str">
        <x:f>IF($C479="","",XLOOKUP($C479,Products!$A$5:$A$34,Products!$E$5:$E$34,""))</x:f>
      </x:c>
      <x:c r="G479" s="19" t="str">
        <x:f>IF(OR($C479="",$E479=""),"",$E479*$F479)</x:f>
      </x:c>
      <x:c r="H479" s="18"/>
    </x:row>
    <x:row r="480" ht="15" hidden="0" customHeight="1">
      <x:c r="A480" s="22"/>
      <x:c r="B480" s="18"/>
      <x:c r="C480" s="18"/>
      <x:c r="D480" s="18" t="str">
        <x:f>IF($C480="","",XLOOKUP($C480,Products!$A$5:$A$34,Products!$B$5:$B$34,""))</x:f>
      </x:c>
      <x:c r="E480" s="18"/>
      <x:c r="F480" s="19" t="str">
        <x:f>IF($C480="","",XLOOKUP($C480,Products!$A$5:$A$34,Products!$E$5:$E$34,""))</x:f>
      </x:c>
      <x:c r="G480" s="19" t="str">
        <x:f>IF(OR($C480="",$E480=""),"",$E480*$F480)</x:f>
      </x:c>
      <x:c r="H480" s="18"/>
    </x:row>
    <x:row r="481" ht="15" hidden="0" customHeight="1">
      <x:c r="A481" s="22"/>
      <x:c r="B481" s="18"/>
      <x:c r="C481" s="18"/>
      <x:c r="D481" s="18" t="str">
        <x:f>IF($C481="","",XLOOKUP($C481,Products!$A$5:$A$34,Products!$B$5:$B$34,""))</x:f>
      </x:c>
      <x:c r="E481" s="18"/>
      <x:c r="F481" s="19" t="str">
        <x:f>IF($C481="","",XLOOKUP($C481,Products!$A$5:$A$34,Products!$E$5:$E$34,""))</x:f>
      </x:c>
      <x:c r="G481" s="19" t="str">
        <x:f>IF(OR($C481="",$E481=""),"",$E481*$F481)</x:f>
      </x:c>
      <x:c r="H481" s="18"/>
    </x:row>
    <x:row r="482" ht="15" hidden="0" customHeight="1">
      <x:c r="A482" s="22"/>
      <x:c r="B482" s="18"/>
      <x:c r="C482" s="18"/>
      <x:c r="D482" s="18" t="str">
        <x:f>IF($C482="","",XLOOKUP($C482,Products!$A$5:$A$34,Products!$B$5:$B$34,""))</x:f>
      </x:c>
      <x:c r="E482" s="18"/>
      <x:c r="F482" s="19" t="str">
        <x:f>IF($C482="","",XLOOKUP($C482,Products!$A$5:$A$34,Products!$E$5:$E$34,""))</x:f>
      </x:c>
      <x:c r="G482" s="19" t="str">
        <x:f>IF(OR($C482="",$E482=""),"",$E482*$F482)</x:f>
      </x:c>
      <x:c r="H482" s="18"/>
    </x:row>
    <x:row r="483" ht="15" hidden="0" customHeight="1">
      <x:c r="A483" s="22"/>
      <x:c r="B483" s="18"/>
      <x:c r="C483" s="18"/>
      <x:c r="D483" s="18" t="str">
        <x:f>IF($C483="","",XLOOKUP($C483,Products!$A$5:$A$34,Products!$B$5:$B$34,""))</x:f>
      </x:c>
      <x:c r="E483" s="18"/>
      <x:c r="F483" s="19" t="str">
        <x:f>IF($C483="","",XLOOKUP($C483,Products!$A$5:$A$34,Products!$E$5:$E$34,""))</x:f>
      </x:c>
      <x:c r="G483" s="19" t="str">
        <x:f>IF(OR($C483="",$E483=""),"",$E483*$F483)</x:f>
      </x:c>
      <x:c r="H483" s="18"/>
    </x:row>
    <x:row r="484" ht="15" hidden="0" customHeight="1">
      <x:c r="A484" s="22"/>
      <x:c r="B484" s="18"/>
      <x:c r="C484" s="18"/>
      <x:c r="D484" s="18" t="str">
        <x:f>IF($C484="","",XLOOKUP($C484,Products!$A$5:$A$34,Products!$B$5:$B$34,""))</x:f>
      </x:c>
      <x:c r="E484" s="18"/>
      <x:c r="F484" s="19" t="str">
        <x:f>IF($C484="","",XLOOKUP($C484,Products!$A$5:$A$34,Products!$E$5:$E$34,""))</x:f>
      </x:c>
      <x:c r="G484" s="19" t="str">
        <x:f>IF(OR($C484="",$E484=""),"",$E484*$F484)</x:f>
      </x:c>
      <x:c r="H484" s="18"/>
    </x:row>
    <x:row r="485" ht="15" hidden="0" customHeight="1">
      <x:c r="A485" s="22"/>
      <x:c r="B485" s="18"/>
      <x:c r="C485" s="18"/>
      <x:c r="D485" s="18" t="str">
        <x:f>IF($C485="","",XLOOKUP($C485,Products!$A$5:$A$34,Products!$B$5:$B$34,""))</x:f>
      </x:c>
      <x:c r="E485" s="18"/>
      <x:c r="F485" s="19" t="str">
        <x:f>IF($C485="","",XLOOKUP($C485,Products!$A$5:$A$34,Products!$E$5:$E$34,""))</x:f>
      </x:c>
      <x:c r="G485" s="19" t="str">
        <x:f>IF(OR($C485="",$E485=""),"",$E485*$F485)</x:f>
      </x:c>
      <x:c r="H485" s="18"/>
    </x:row>
    <x:row r="486" ht="15" hidden="0" customHeight="1">
      <x:c r="A486" s="22"/>
      <x:c r="B486" s="18"/>
      <x:c r="C486" s="18"/>
      <x:c r="D486" s="18" t="str">
        <x:f>IF($C486="","",XLOOKUP($C486,Products!$A$5:$A$34,Products!$B$5:$B$34,""))</x:f>
      </x:c>
      <x:c r="E486" s="18"/>
      <x:c r="F486" s="19" t="str">
        <x:f>IF($C486="","",XLOOKUP($C486,Products!$A$5:$A$34,Products!$E$5:$E$34,""))</x:f>
      </x:c>
      <x:c r="G486" s="19" t="str">
        <x:f>IF(OR($C486="",$E486=""),"",$E486*$F486)</x:f>
      </x:c>
      <x:c r="H486" s="18"/>
    </x:row>
    <x:row r="487" ht="15" hidden="0" customHeight="1">
      <x:c r="A487" s="22"/>
      <x:c r="B487" s="18"/>
      <x:c r="C487" s="18"/>
      <x:c r="D487" s="18" t="str">
        <x:f>IF($C487="","",XLOOKUP($C487,Products!$A$5:$A$34,Products!$B$5:$B$34,""))</x:f>
      </x:c>
      <x:c r="E487" s="18"/>
      <x:c r="F487" s="19" t="str">
        <x:f>IF($C487="","",XLOOKUP($C487,Products!$A$5:$A$34,Products!$E$5:$E$34,""))</x:f>
      </x:c>
      <x:c r="G487" s="19" t="str">
        <x:f>IF(OR($C487="",$E487=""),"",$E487*$F487)</x:f>
      </x:c>
      <x:c r="H487" s="18"/>
    </x:row>
    <x:row r="488" ht="15" hidden="0" customHeight="1">
      <x:c r="A488" s="22"/>
      <x:c r="B488" s="18"/>
      <x:c r="C488" s="18"/>
      <x:c r="D488" s="18" t="str">
        <x:f>IF($C488="","",XLOOKUP($C488,Products!$A$5:$A$34,Products!$B$5:$B$34,""))</x:f>
      </x:c>
      <x:c r="E488" s="18"/>
      <x:c r="F488" s="19" t="str">
        <x:f>IF($C488="","",XLOOKUP($C488,Products!$A$5:$A$34,Products!$E$5:$E$34,""))</x:f>
      </x:c>
      <x:c r="G488" s="19" t="str">
        <x:f>IF(OR($C488="",$E488=""),"",$E488*$F488)</x:f>
      </x:c>
      <x:c r="H488" s="18"/>
    </x:row>
    <x:row r="489" ht="15" hidden="0" customHeight="1">
      <x:c r="A489" s="22"/>
      <x:c r="B489" s="18"/>
      <x:c r="C489" s="18"/>
      <x:c r="D489" s="18" t="str">
        <x:f>IF($C489="","",XLOOKUP($C489,Products!$A$5:$A$34,Products!$B$5:$B$34,""))</x:f>
      </x:c>
      <x:c r="E489" s="18"/>
      <x:c r="F489" s="19" t="str">
        <x:f>IF($C489="","",XLOOKUP($C489,Products!$A$5:$A$34,Products!$E$5:$E$34,""))</x:f>
      </x:c>
      <x:c r="G489" s="19" t="str">
        <x:f>IF(OR($C489="",$E489=""),"",$E489*$F489)</x:f>
      </x:c>
      <x:c r="H489" s="18"/>
    </x:row>
    <x:row r="490" ht="15" hidden="0" customHeight="1">
      <x:c r="A490" s="22"/>
      <x:c r="B490" s="18"/>
      <x:c r="C490" s="18"/>
      <x:c r="D490" s="18" t="str">
        <x:f>IF($C490="","",XLOOKUP($C490,Products!$A$5:$A$34,Products!$B$5:$B$34,""))</x:f>
      </x:c>
      <x:c r="E490" s="18"/>
      <x:c r="F490" s="19" t="str">
        <x:f>IF($C490="","",XLOOKUP($C490,Products!$A$5:$A$34,Products!$E$5:$E$34,""))</x:f>
      </x:c>
      <x:c r="G490" s="19" t="str">
        <x:f>IF(OR($C490="",$E490=""),"",$E490*$F490)</x:f>
      </x:c>
      <x:c r="H490" s="18"/>
    </x:row>
    <x:row r="491" ht="15" hidden="0" customHeight="1">
      <x:c r="A491" s="22"/>
      <x:c r="B491" s="18"/>
      <x:c r="C491" s="18"/>
      <x:c r="D491" s="18" t="str">
        <x:f>IF($C491="","",XLOOKUP($C491,Products!$A$5:$A$34,Products!$B$5:$B$34,""))</x:f>
      </x:c>
      <x:c r="E491" s="18"/>
      <x:c r="F491" s="19" t="str">
        <x:f>IF($C491="","",XLOOKUP($C491,Products!$A$5:$A$34,Products!$E$5:$E$34,""))</x:f>
      </x:c>
      <x:c r="G491" s="19" t="str">
        <x:f>IF(OR($C491="",$E491=""),"",$E491*$F491)</x:f>
      </x:c>
      <x:c r="H491" s="18"/>
    </x:row>
    <x:row r="492" ht="15" hidden="0" customHeight="1">
      <x:c r="A492" s="22"/>
      <x:c r="B492" s="18"/>
      <x:c r="C492" s="18"/>
      <x:c r="D492" s="18" t="str">
        <x:f>IF($C492="","",XLOOKUP($C492,Products!$A$5:$A$34,Products!$B$5:$B$34,""))</x:f>
      </x:c>
      <x:c r="E492" s="18"/>
      <x:c r="F492" s="19" t="str">
        <x:f>IF($C492="","",XLOOKUP($C492,Products!$A$5:$A$34,Products!$E$5:$E$34,""))</x:f>
      </x:c>
      <x:c r="G492" s="19" t="str">
        <x:f>IF(OR($C492="",$E492=""),"",$E492*$F492)</x:f>
      </x:c>
      <x:c r="H492" s="18"/>
    </x:row>
    <x:row r="493" ht="15" hidden="0" customHeight="1">
      <x:c r="A493" s="22"/>
      <x:c r="B493" s="18"/>
      <x:c r="C493" s="18"/>
      <x:c r="D493" s="18" t="str">
        <x:f>IF($C493="","",XLOOKUP($C493,Products!$A$5:$A$34,Products!$B$5:$B$34,""))</x:f>
      </x:c>
      <x:c r="E493" s="18"/>
      <x:c r="F493" s="19" t="str">
        <x:f>IF($C493="","",XLOOKUP($C493,Products!$A$5:$A$34,Products!$E$5:$E$34,""))</x:f>
      </x:c>
      <x:c r="G493" s="19" t="str">
        <x:f>IF(OR($C493="",$E493=""),"",$E493*$F493)</x:f>
      </x:c>
      <x:c r="H493" s="18"/>
    </x:row>
    <x:row r="494" ht="15" hidden="0" customHeight="1">
      <x:c r="A494" s="22"/>
      <x:c r="B494" s="18"/>
      <x:c r="C494" s="18"/>
      <x:c r="D494" s="18" t="str">
        <x:f>IF($C494="","",XLOOKUP($C494,Products!$A$5:$A$34,Products!$B$5:$B$34,""))</x:f>
      </x:c>
      <x:c r="E494" s="18"/>
      <x:c r="F494" s="19" t="str">
        <x:f>IF($C494="","",XLOOKUP($C494,Products!$A$5:$A$34,Products!$E$5:$E$34,""))</x:f>
      </x:c>
      <x:c r="G494" s="19" t="str">
        <x:f>IF(OR($C494="",$E494=""),"",$E494*$F494)</x:f>
      </x:c>
      <x:c r="H494" s="18"/>
    </x:row>
    <x:row r="495" ht="15" hidden="0" customHeight="1">
      <x:c r="A495" s="22"/>
      <x:c r="B495" s="18"/>
      <x:c r="C495" s="18"/>
      <x:c r="D495" s="18" t="str">
        <x:f>IF($C495="","",XLOOKUP($C495,Products!$A$5:$A$34,Products!$B$5:$B$34,""))</x:f>
      </x:c>
      <x:c r="E495" s="18"/>
      <x:c r="F495" s="19" t="str">
        <x:f>IF($C495="","",XLOOKUP($C495,Products!$A$5:$A$34,Products!$E$5:$E$34,""))</x:f>
      </x:c>
      <x:c r="G495" s="19" t="str">
        <x:f>IF(OR($C495="",$E495=""),"",$E495*$F495)</x:f>
      </x:c>
      <x:c r="H495" s="18"/>
    </x:row>
    <x:row r="496" ht="15" hidden="0" customHeight="1">
      <x:c r="A496" s="22"/>
      <x:c r="B496" s="18"/>
      <x:c r="C496" s="18"/>
      <x:c r="D496" s="18" t="str">
        <x:f>IF($C496="","",XLOOKUP($C496,Products!$A$5:$A$34,Products!$B$5:$B$34,""))</x:f>
      </x:c>
      <x:c r="E496" s="18"/>
      <x:c r="F496" s="19" t="str">
        <x:f>IF($C496="","",XLOOKUP($C496,Products!$A$5:$A$34,Products!$E$5:$E$34,""))</x:f>
      </x:c>
      <x:c r="G496" s="19" t="str">
        <x:f>IF(OR($C496="",$E496=""),"",$E496*$F496)</x:f>
      </x:c>
      <x:c r="H496" s="18"/>
    </x:row>
    <x:row r="497" ht="15" hidden="0" customHeight="1">
      <x:c r="A497" s="22"/>
      <x:c r="B497" s="18"/>
      <x:c r="C497" s="18"/>
      <x:c r="D497" s="18" t="str">
        <x:f>IF($C497="","",XLOOKUP($C497,Products!$A$5:$A$34,Products!$B$5:$B$34,""))</x:f>
      </x:c>
      <x:c r="E497" s="18"/>
      <x:c r="F497" s="19" t="str">
        <x:f>IF($C497="","",XLOOKUP($C497,Products!$A$5:$A$34,Products!$E$5:$E$34,""))</x:f>
      </x:c>
      <x:c r="G497" s="19" t="str">
        <x:f>IF(OR($C497="",$E497=""),"",$E497*$F497)</x:f>
      </x:c>
      <x:c r="H497" s="18"/>
    </x:row>
    <x:row r="498" ht="15" hidden="0" customHeight="1">
      <x:c r="A498" s="22"/>
      <x:c r="B498" s="18"/>
      <x:c r="C498" s="18"/>
      <x:c r="D498" s="18" t="str">
        <x:f>IF($C498="","",XLOOKUP($C498,Products!$A$5:$A$34,Products!$B$5:$B$34,""))</x:f>
      </x:c>
      <x:c r="E498" s="18"/>
      <x:c r="F498" s="19" t="str">
        <x:f>IF($C498="","",XLOOKUP($C498,Products!$A$5:$A$34,Products!$E$5:$E$34,""))</x:f>
      </x:c>
      <x:c r="G498" s="19" t="str">
        <x:f>IF(OR($C498="",$E498=""),"",$E498*$F498)</x:f>
      </x:c>
      <x:c r="H498" s="18"/>
    </x:row>
    <x:row r="499" ht="15" hidden="0" customHeight="1">
      <x:c r="A499" s="22"/>
      <x:c r="B499" s="18"/>
      <x:c r="C499" s="18"/>
      <x:c r="D499" s="18" t="str">
        <x:f>IF($C499="","",XLOOKUP($C499,Products!$A$5:$A$34,Products!$B$5:$B$34,""))</x:f>
      </x:c>
      <x:c r="E499" s="18"/>
      <x:c r="F499" s="19" t="str">
        <x:f>IF($C499="","",XLOOKUP($C499,Products!$A$5:$A$34,Products!$E$5:$E$34,""))</x:f>
      </x:c>
      <x:c r="G499" s="19" t="str">
        <x:f>IF(OR($C499="",$E499=""),"",$E499*$F499)</x:f>
      </x:c>
      <x:c r="H499" s="18"/>
    </x:row>
    <x:row r="500" ht="15" hidden="0" customHeight="1">
      <x:c r="A500" s="22"/>
      <x:c r="B500" s="18"/>
      <x:c r="C500" s="18"/>
      <x:c r="D500" s="18" t="str">
        <x:f>IF($C500="","",XLOOKUP($C500,Products!$A$5:$A$34,Products!$B$5:$B$34,""))</x:f>
      </x:c>
      <x:c r="E500" s="18"/>
      <x:c r="F500" s="19" t="str">
        <x:f>IF($C500="","",XLOOKUP($C500,Products!$A$5:$A$34,Products!$E$5:$E$34,""))</x:f>
      </x:c>
      <x:c r="G500" s="19" t="str">
        <x:f>IF(OR($C500="",$E500=""),"",$E500*$F500)</x:f>
      </x:c>
      <x:c r="H500" s="18"/>
    </x:row>
    <x:row r="501" ht="15" hidden="0" customHeight="1">
      <x:c r="A501" s="22"/>
      <x:c r="B501" s="18"/>
      <x:c r="C501" s="18"/>
      <x:c r="D501" s="18" t="str">
        <x:f>IF($C501="","",XLOOKUP($C501,Products!$A$5:$A$34,Products!$B$5:$B$34,""))</x:f>
      </x:c>
      <x:c r="E501" s="18"/>
      <x:c r="F501" s="19" t="str">
        <x:f>IF($C501="","",XLOOKUP($C501,Products!$A$5:$A$34,Products!$E$5:$E$34,""))</x:f>
      </x:c>
      <x:c r="G501" s="19" t="str">
        <x:f>IF(OR($C501="",$E501=""),"",$E501*$F501)</x:f>
      </x:c>
      <x:c r="H501" s="18"/>
    </x:row>
    <x:row r="502" ht="15" hidden="0" customHeight="1">
      <x:c r="A502" s="22"/>
      <x:c r="B502" s="18"/>
      <x:c r="C502" s="18"/>
      <x:c r="D502" s="18" t="str">
        <x:f>IF($C502="","",XLOOKUP($C502,Products!$A$5:$A$34,Products!$B$5:$B$34,""))</x:f>
      </x:c>
      <x:c r="E502" s="18"/>
      <x:c r="F502" s="19" t="str">
        <x:f>IF($C502="","",XLOOKUP($C502,Products!$A$5:$A$34,Products!$E$5:$E$34,""))</x:f>
      </x:c>
      <x:c r="G502" s="19" t="str">
        <x:f>IF(OR($C502="",$E502=""),"",$E502*$F502)</x:f>
      </x:c>
      <x:c r="H502" s="18"/>
    </x:row>
    <x:row r="503" ht="15" hidden="0" customHeight="1">
      <x:c r="A503" s="22"/>
      <x:c r="B503" s="18"/>
      <x:c r="C503" s="18"/>
      <x:c r="D503" s="18" t="str">
        <x:f>IF($C503="","",XLOOKUP($C503,Products!$A$5:$A$34,Products!$B$5:$B$34,""))</x:f>
      </x:c>
      <x:c r="E503" s="18"/>
      <x:c r="F503" s="19" t="str">
        <x:f>IF($C503="","",XLOOKUP($C503,Products!$A$5:$A$34,Products!$E$5:$E$34,""))</x:f>
      </x:c>
      <x:c r="G503" s="19" t="str">
        <x:f>IF(OR($C503="",$E503=""),"",$E503*$F503)</x:f>
      </x:c>
      <x:c r="H503" s="18"/>
    </x:row>
    <x:row r="504" ht="15" hidden="0" customHeight="1">
      <x:c r="A504" s="22"/>
      <x:c r="B504" s="18"/>
      <x:c r="C504" s="18"/>
      <x:c r="D504" s="18" t="str">
        <x:f>IF($C504="","",XLOOKUP($C504,Products!$A$5:$A$34,Products!$B$5:$B$34,""))</x:f>
      </x:c>
      <x:c r="E504" s="18"/>
      <x:c r="F504" s="19" t="str">
        <x:f>IF($C504="","",XLOOKUP($C504,Products!$A$5:$A$34,Products!$E$5:$E$34,""))</x:f>
      </x:c>
      <x:c r="G504" s="19" t="str">
        <x:f>IF(OR($C504="",$E504=""),"",$E504*$F504)</x:f>
      </x:c>
      <x:c r="H504" s="18"/>
    </x:row>
  </x:sheetData>
  <x:dataValidations count="1">
    <x:dataValidation type="list" allowBlank="1" showDropDown="0" sqref="C5:C504">
      <x:formula1>"SKU-001,SKU-002,SKU-003,SKU-004,SKU-005,SKU-006,SKU-007,SKU-008,SKU-009,SKU-010,SKU-011,SKU-012,SKU-013,SKU-014,SKU-015"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20" hidden="0" customWidth="1"/>
    <x:col min="3" max="3" width="2.7799999713897705" hidden="0" customWidth="1"/>
    <x:col min="4" max="4" width="16.110000610351562" hidden="0" customWidth="1"/>
    <x:col min="5" max="5" width="12.220000267028809" hidden="0" customWidth="1"/>
    <x:col min="6" max="6" width="12.220000267028809" hidden="0" customWidth="1"/>
    <x:col min="7" max="7" width="10" hidden="0" customWidth="1"/>
    <x:col min="8" max="8" width="12.220000267028809" hidden="0" customWidth="1"/>
    <x:col min="9" max="9" width="11.670000076293945" hidden="0" customWidth="1"/>
    <x:col min="10" max="10" width="11.109999656677246" hidden="0" customWidth="1"/>
    <x:col min="11" max="11" width="12.220000267028809" hidden="0" customWidth="1"/>
    <x:col min="12" max="12" width="2.7799999713897705" hidden="0" customWidth="1"/>
    <x:col min="13" max="13" width="20" hidden="0" customWidth="1"/>
    <x:col min="14" max="14" width="11.109999656677246" hidden="0" customWidth="1"/>
    <x:col min="15" max="15" width="11.109999656677246" hidden="0" customWidth="1"/>
    <x:col min="16" max="16" width="11.109999656677246" hidden="0" customWidth="1"/>
  </x:cols>
  <x:sheetData>
    <x:row r="1" ht="26.399999618530273" hidden="0" customHeight="1">
      <x:c r="A1" s="14" t="str">
        <x:v>Product SKUs</x:v>
      </x:c>
      <x:c r="B1" s="14" t="str">
        <x:v>Product Names</x:v>
      </x:c>
      <x:c r="D1" s="14" t="str">
        <x:v>Category</x:v>
      </x:c>
      <x:c r="E1" s="14" t="str">
        <x:v>Sales</x:v>
      </x:c>
      <x:c r="F1" s="14" t="str">
        <x:v>Profit</x:v>
      </x:c>
      <x:c r="G1" s="14" t="str">
        <x:v>Units Sold</x:v>
      </x:c>
      <x:c r="H1" s="14" t="str">
        <x:v>Stock Value</x:v>
      </x:c>
      <x:c r="I1" s="14" t="str">
        <x:v>Current Stock</x:v>
      </x:c>
      <x:c r="J1" s="14" t="str">
        <x:v>Reorder Qty</x:v>
      </x:c>
      <x:c r="K1" s="14" t="str">
        <x:v>Low Stock Items</x:v>
      </x:c>
      <x:c r="M1" s="14" t="str">
        <x:v>Product</x:v>
      </x:c>
      <x:c r="N1" s="14" t="str">
        <x:v>Current Stock</x:v>
      </x:c>
      <x:c r="O1" s="14" t="str">
        <x:v>Reorder Level</x:v>
      </x:c>
      <x:c r="P1" s="14" t="str">
        <x:v>Reorder Qty</x:v>
      </x:c>
    </x:row>
    <x:row r="2" ht="15" hidden="0" customHeight="1">
      <x:c r="A2" s="18" t="str">
        <x:v>SKU-001</x:v>
      </x:c>
      <x:c r="B2" s="18" t="str">
        <x:v>Wireless Mouse</x:v>
      </x:c>
      <x:c r="D2" s="18" t="str">
        <x:v>Adapter</x:v>
      </x:c>
      <x:c r="E2" s="19" t="n">
        <x:f>SUMIFS(Sales!$I$5:$I$504,Sales!$F$5:$F$504,$D2,Sales!$J$5:$J$504,"Completed")</x:f>
        <x:v>0</x:v>
      </x:c>
      <x:c r="F2" s="19" t="n">
        <x:f>SUMIFS(Sales!$K$5:$K$504,Sales!$F$5:$F$504,$D2,Sales!$J$5:$J$504,"Completed")</x:f>
        <x:v>0</x:v>
      </x:c>
      <x:c r="G2" s="18" t="n">
        <x:f>SUMIFS(Sales!$D$5:$D$504,Sales!$F$5:$F$504,$D2,Sales!$J$5:$J$504,"Completed")</x:f>
        <x:v>0</x:v>
      </x:c>
      <x:c r="H2" s="19" t="n">
        <x:f>SUMIFS(Products!$M$5:$M$34,Products!$C$5:$C$34,$D2)</x:f>
        <x:v>26400</x:v>
      </x:c>
      <x:c r="I2" s="18" t="n">
        <x:f>SUMIFS(Products!$J$5:$J$34,Products!$C$5:$C$34,$D2)</x:f>
        <x:v>22</x:v>
      </x:c>
      <x:c r="J2" s="18" t="n">
        <x:f>SUMIFS(Products!$L$5:$L$34,Products!$C$5:$C$34,$D2)</x:f>
        <x:v>0</x:v>
      </x:c>
      <x:c r="K2" s="18" t="n">
        <x:f>COUNTIFS(Products!$C$5:$C$34,$D2,Products!$P$5:$P$34,"Reorder")+COUNTIFS(Products!$C$5:$C$34,$D2,Products!$P$5:$P$34,"Out of Stock")</x:f>
        <x:v>0</x:v>
      </x:c>
      <x:c r="M2" s="18" t="str">
        <x:f>Products!B5</x:f>
        <x:v>Wireless Mouse</x:v>
      </x:c>
      <x:c r="N2" s="18" t="n">
        <x:f>Products!J5</x:f>
        <x:v>42</x:v>
      </x:c>
      <x:c r="O2" s="18" t="n">
        <x:f>Products!K5</x:f>
        <x:v>12</x:v>
      </x:c>
      <x:c r="P2" s="18" t="n">
        <x:f>Products!L5</x:f>
        <x:v>0</x:v>
      </x:c>
    </x:row>
    <x:row r="3" ht="15" hidden="0" customHeight="1">
      <x:c r="A3" s="18" t="str">
        <x:v>SKU-002</x:v>
      </x:c>
      <x:c r="B3" s="18" t="str">
        <x:v>Gaming Mouse RGB</x:v>
      </x:c>
      <x:c r="D3" s="18" t="str">
        <x:v>Cable</x:v>
      </x:c>
      <x:c r="E3" s="19" t="n">
        <x:f>SUMIFS(Sales!$I$5:$I$504,Sales!$F$5:$F$504,$D3,Sales!$J$5:$J$504,"Completed")</x:f>
        <x:v>5200</x:v>
      </x:c>
      <x:c r="F3" s="19" t="n">
        <x:f>SUMIFS(Sales!$K$5:$K$504,Sales!$F$5:$F$504,$D3,Sales!$J$5:$J$504,"Completed")</x:f>
        <x:v>2640</x:v>
      </x:c>
      <x:c r="G3" s="18" t="n">
        <x:f>SUMIFS(Sales!$D$5:$D$504,Sales!$F$5:$F$504,$D3,Sales!$J$5:$J$504,"Completed")</x:f>
        <x:v>8</x:v>
      </x:c>
      <x:c r="H3" s="19" t="n">
        <x:f>SUMIFS(Products!$M$5:$M$34,Products!$C$5:$C$34,$D3)</x:f>
        <x:v>44040</x:v>
      </x:c>
      <x:c r="I3" s="18" t="n">
        <x:f>SUMIFS(Products!$J$5:$J$34,Products!$C$5:$C$34,$D3)</x:f>
        <x:v>147</x:v>
      </x:c>
      <x:c r="J3" s="18" t="n">
        <x:f>SUMIFS(Products!$L$5:$L$34,Products!$C$5:$C$34,$D3)</x:f>
        <x:v>0</x:v>
      </x:c>
      <x:c r="K3" s="18" t="n">
        <x:f>COUNTIFS(Products!$C$5:$C$34,$D3,Products!$P$5:$P$34,"Reorder")+COUNTIFS(Products!$C$5:$C$34,$D3,Products!$P$5:$P$34,"Out of Stock")</x:f>
        <x:v>0</x:v>
      </x:c>
      <x:c r="M3" s="18" t="str">
        <x:f>Products!B6</x:f>
        <x:v>Gaming Mouse RGB</x:v>
      </x:c>
      <x:c r="N3" s="18" t="n">
        <x:f>Products!J6</x:f>
        <x:v>18</x:v>
      </x:c>
      <x:c r="O3" s="18" t="n">
        <x:f>Products!K6</x:f>
        <x:v>8</x:v>
      </x:c>
      <x:c r="P3" s="18" t="n">
        <x:f>Products!L6</x:f>
        <x:v>0</x:v>
      </x:c>
    </x:row>
    <x:row r="4" ht="15" hidden="0" customHeight="1">
      <x:c r="A4" s="18" t="str">
        <x:v>SKU-003</x:v>
      </x:c>
      <x:c r="B4" s="18" t="str">
        <x:v>USB Keyboard</x:v>
      </x:c>
      <x:c r="D4" s="18" t="str">
        <x:v>Charger</x:v>
      </x:c>
      <x:c r="E4" s="19" t="n">
        <x:f>SUMIFS(Sales!$I$5:$I$504,Sales!$F$5:$F$504,$D4,Sales!$J$5:$J$504,"Completed")</x:f>
        <x:v>6700</x:v>
      </x:c>
      <x:c r="F4" s="19" t="n">
        <x:f>SUMIFS(Sales!$K$5:$K$504,Sales!$F$5:$F$504,$D4,Sales!$J$5:$J$504,"Completed")</x:f>
        <x:v>2500</x:v>
      </x:c>
      <x:c r="G4" s="18" t="n">
        <x:f>SUMIFS(Sales!$D$5:$D$504,Sales!$F$5:$F$504,$D4,Sales!$J$5:$J$504,"Completed")</x:f>
        <x:v>2</x:v>
      </x:c>
      <x:c r="H4" s="19" t="n">
        <x:f>SUMIFS(Products!$M$5:$M$34,Products!$C$5:$C$34,$D4)</x:f>
        <x:v>50400</x:v>
      </x:c>
      <x:c r="I4" s="18" t="n">
        <x:f>SUMIFS(Products!$J$5:$J$34,Products!$C$5:$C$34,$D4)</x:f>
        <x:v>24</x:v>
      </x:c>
      <x:c r="J4" s="18" t="n">
        <x:f>SUMIFS(Products!$L$5:$L$34,Products!$C$5:$C$34,$D4)</x:f>
        <x:v>0</x:v>
      </x:c>
      <x:c r="K4" s="18" t="n">
        <x:f>COUNTIFS(Products!$C$5:$C$34,$D4,Products!$P$5:$P$34,"Reorder")+COUNTIFS(Products!$C$5:$C$34,$D4,Products!$P$5:$P$34,"Out of Stock")</x:f>
        <x:v>0</x:v>
      </x:c>
      <x:c r="M4" s="18" t="str">
        <x:f>Products!B7</x:f>
        <x:v>USB Keyboard</x:v>
      </x:c>
      <x:c r="N4" s="18" t="n">
        <x:f>Products!J7</x:f>
        <x:v>34</x:v>
      </x:c>
      <x:c r="O4" s="18" t="n">
        <x:f>Products!K7</x:f>
        <x:v>10</x:v>
      </x:c>
      <x:c r="P4" s="18" t="n">
        <x:f>Products!L7</x:f>
        <x:v>0</x:v>
      </x:c>
    </x:row>
    <x:row r="5" ht="15" hidden="0" customHeight="1">
      <x:c r="A5" s="18" t="str">
        <x:v>SKU-004</x:v>
      </x:c>
      <x:c r="B5" s="18" t="str">
        <x:v>Mechanical Keyboard</x:v>
      </x:c>
      <x:c r="D5" s="18" t="str">
        <x:v>Headset</x:v>
      </x:c>
      <x:c r="E5" s="19" t="n">
        <x:f>SUMIFS(Sales!$I$5:$I$504,Sales!$F$5:$F$504,$D5,Sales!$J$5:$J$504,"Completed")</x:f>
        <x:v>3950</x:v>
      </x:c>
      <x:c r="F5" s="19" t="n">
        <x:f>SUMIFS(Sales!$K$5:$K$504,Sales!$F$5:$F$504,$D5,Sales!$J$5:$J$504,"Completed")</x:f>
        <x:v>1450</x:v>
      </x:c>
      <x:c r="G5" s="18" t="n">
        <x:f>SUMIFS(Sales!$D$5:$D$504,Sales!$F$5:$F$504,$D5,Sales!$J$5:$J$504,"Completed")</x:f>
        <x:v>1</x:v>
      </x:c>
      <x:c r="H5" s="19" t="n">
        <x:f>SUMIFS(Products!$M$5:$M$34,Products!$C$5:$C$34,$D5)</x:f>
        <x:v>37500</x:v>
      </x:c>
      <x:c r="I5" s="18" t="n">
        <x:f>SUMIFS(Products!$J$5:$J$34,Products!$C$5:$C$34,$D5)</x:f>
        <x:v>15</x:v>
      </x:c>
      <x:c r="J5" s="18" t="n">
        <x:f>SUMIFS(Products!$L$5:$L$34,Products!$C$5:$C$34,$D5)</x:f>
        <x:v>0</x:v>
      </x:c>
      <x:c r="K5" s="18" t="n">
        <x:f>COUNTIFS(Products!$C$5:$C$34,$D5,Products!$P$5:$P$34,"Reorder")+COUNTIFS(Products!$C$5:$C$34,$D5,Products!$P$5:$P$34,"Out of Stock")</x:f>
        <x:v>0</x:v>
      </x:c>
      <x:c r="M5" s="18" t="str">
        <x:f>Products!B8</x:f>
        <x:v>Mechanical Keyboard</x:v>
      </x:c>
      <x:c r="N5" s="18" t="n">
        <x:f>Products!J8</x:f>
        <x:v>11</x:v>
      </x:c>
      <x:c r="O5" s="18" t="n">
        <x:f>Products!K8</x:f>
        <x:v>5</x:v>
      </x:c>
      <x:c r="P5" s="18" t="n">
        <x:f>Products!L8</x:f>
        <x:v>0</x:v>
      </x:c>
    </x:row>
    <x:row r="6" ht="15" hidden="0" customHeight="1">
      <x:c r="A6" s="18" t="str">
        <x:v>SKU-005</x:v>
      </x:c>
      <x:c r="B6" s="18" t="str">
        <x:v>HDMI Cable 2m</x:v>
      </x:c>
      <x:c r="D6" s="18" t="str">
        <x:v>Keyboard</x:v>
      </x:c>
      <x:c r="E6" s="19" t="n">
        <x:f>SUMIFS(Sales!$I$5:$I$504,Sales!$F$5:$F$504,$D6,Sales!$J$5:$J$504,"Completed")</x:f>
        <x:v>12200</x:v>
      </x:c>
      <x:c r="F6" s="19" t="n">
        <x:f>SUMIFS(Sales!$K$5:$K$504,Sales!$F$5:$F$504,$D6,Sales!$J$5:$J$504,"Completed")</x:f>
        <x:v>4100</x:v>
      </x:c>
      <x:c r="G6" s="18" t="n">
        <x:f>SUMIFS(Sales!$D$5:$D$504,Sales!$F$5:$F$504,$D6,Sales!$J$5:$J$504,"Completed")</x:f>
        <x:v>3</x:v>
      </x:c>
      <x:c r="H6" s="19" t="n">
        <x:f>SUMIFS(Products!$M$5:$M$34,Products!$C$5:$C$34,$D6)</x:f>
        <x:v>106500</x:v>
      </x:c>
      <x:c r="I6" s="18" t="n">
        <x:f>SUMIFS(Products!$J$5:$J$34,Products!$C$5:$C$34,$D6)</x:f>
        <x:v>45</x:v>
      </x:c>
      <x:c r="J6" s="18" t="n">
        <x:f>SUMIFS(Products!$L$5:$L$34,Products!$C$5:$C$34,$D6)</x:f>
        <x:v>0</x:v>
      </x:c>
      <x:c r="K6" s="18" t="n">
        <x:f>COUNTIFS(Products!$C$5:$C$34,$D6,Products!$P$5:$P$34,"Reorder")+COUNTIFS(Products!$C$5:$C$34,$D6,Products!$P$5:$P$34,"Out of Stock")</x:f>
        <x:v>0</x:v>
      </x:c>
      <x:c r="M6" s="18" t="str">
        <x:f>Products!B9</x:f>
        <x:v>HDMI Cable 2m</x:v>
      </x:c>
      <x:c r="N6" s="18" t="n">
        <x:f>Products!J9</x:f>
        <x:v>72</x:v>
      </x:c>
      <x:c r="O6" s="18" t="n">
        <x:f>Products!K9</x:f>
        <x:v>20</x:v>
      </x:c>
      <x:c r="P6" s="18" t="n">
        <x:f>Products!L9</x:f>
        <x:v>0</x:v>
      </x:c>
    </x:row>
    <x:row r="7" ht="15" hidden="0" customHeight="1">
      <x:c r="A7" s="18" t="str">
        <x:v>SKU-006</x:v>
      </x:c>
      <x:c r="B7" s="18" t="str">
        <x:v>USB-C Cable</x:v>
      </x:c>
      <x:c r="D7" s="18" t="str">
        <x:v>Laptop Accessory</x:v>
      </x:c>
      <x:c r="E7" s="19" t="n">
        <x:f>SUMIFS(Sales!$I$5:$I$504,Sales!$F$5:$F$504,$D7,Sales!$J$5:$J$504,"Completed")</x:f>
        <x:v>0</x:v>
      </x:c>
      <x:c r="F7" s="19" t="n">
        <x:f>SUMIFS(Sales!$K$5:$K$504,Sales!$F$5:$F$504,$D7,Sales!$J$5:$J$504,"Completed")</x:f>
        <x:v>0</x:v>
      </x:c>
      <x:c r="G7" s="18" t="n">
        <x:f>SUMIFS(Sales!$D$5:$D$504,Sales!$F$5:$F$504,$D7,Sales!$J$5:$J$504,"Completed")</x:f>
        <x:v>0</x:v>
      </x:c>
      <x:c r="H7" s="19" t="n">
        <x:f>SUMIFS(Products!$M$5:$M$34,Products!$C$5:$C$34,$D7)</x:f>
        <x:v>25200</x:v>
      </x:c>
      <x:c r="I7" s="18" t="n">
        <x:f>SUMIFS(Products!$J$5:$J$34,Products!$C$5:$C$34,$D7)</x:f>
        <x:v>14</x:v>
      </x:c>
      <x:c r="J7" s="18" t="n">
        <x:f>SUMIFS(Products!$L$5:$L$34,Products!$C$5:$C$34,$D7)</x:f>
        <x:v>0</x:v>
      </x:c>
      <x:c r="K7" s="18" t="n">
        <x:f>COUNTIFS(Products!$C$5:$C$34,$D7,Products!$P$5:$P$34,"Reorder")+COUNTIFS(Products!$C$5:$C$34,$D7,Products!$P$5:$P$34,"Out of Stock")</x:f>
        <x:v>0</x:v>
      </x:c>
      <x:c r="M7" s="18" t="str">
        <x:f>Products!B10</x:f>
        <x:v>USB-C Cable</x:v>
      </x:c>
      <x:c r="N7" s="18" t="n">
        <x:f>Products!J10</x:f>
        <x:v>75</x:v>
      </x:c>
      <x:c r="O7" s="18" t="n">
        <x:f>Products!K10</x:f>
        <x:v>25</x:v>
      </x:c>
      <x:c r="P7" s="18" t="n">
        <x:f>Products!L10</x:f>
        <x:v>0</x:v>
      </x:c>
    </x:row>
    <x:row r="8" ht="15" hidden="0" customHeight="1">
      <x:c r="A8" s="18" t="str">
        <x:v>SKU-007</x:v>
      </x:c>
      <x:c r="B8" s="18" t="str">
        <x:v>Laptop Charger 65W</x:v>
      </x:c>
      <x:c r="D8" s="18" t="str">
        <x:v>Mouse</x:v>
      </x:c>
      <x:c r="E8" s="19" t="n">
        <x:f>SUMIFS(Sales!$I$5:$I$504,Sales!$F$5:$F$504,$D8,Sales!$J$5:$J$504,"Completed")</x:f>
        <x:v>7850</x:v>
      </x:c>
      <x:c r="F8" s="19" t="n">
        <x:f>SUMIFS(Sales!$K$5:$K$504,Sales!$F$5:$F$504,$D8,Sales!$J$5:$J$504,"Completed")</x:f>
        <x:v>3200</x:v>
      </x:c>
      <x:c r="G8" s="18" t="n">
        <x:f>SUMIFS(Sales!$D$5:$D$504,Sales!$F$5:$F$504,$D8,Sales!$J$5:$J$504,"Completed")</x:f>
        <x:v>13</x:v>
      </x:c>
      <x:c r="H8" s="19" t="n">
        <x:f>SUMIFS(Products!$M$5:$M$34,Products!$C$5:$C$34,$D8)</x:f>
        <x:v>85800</x:v>
      </x:c>
      <x:c r="I8" s="18" t="n">
        <x:f>SUMIFS(Products!$J$5:$J$34,Products!$C$5:$C$34,$D8)</x:f>
        <x:v>130</x:v>
      </x:c>
      <x:c r="J8" s="18" t="n">
        <x:f>SUMIFS(Products!$L$5:$L$34,Products!$C$5:$C$34,$D8)</x:f>
        <x:v>0</x:v>
      </x:c>
      <x:c r="K8" s="18" t="n">
        <x:f>COUNTIFS(Products!$C$5:$C$34,$D8,Products!$P$5:$P$34,"Reorder")+COUNTIFS(Products!$C$5:$C$34,$D8,Products!$P$5:$P$34,"Out of Stock")</x:f>
        <x:v>0</x:v>
      </x:c>
      <x:c r="M8" s="18" t="str">
        <x:f>Products!B11</x:f>
        <x:v>Laptop Charger 65W</x:v>
      </x:c>
      <x:c r="N8" s="18" t="n">
        <x:f>Products!J11</x:f>
        <x:v>24</x:v>
      </x:c>
      <x:c r="O8" s="18" t="n">
        <x:f>Products!K11</x:f>
        <x:v>8</x:v>
      </x:c>
      <x:c r="P8" s="18" t="n">
        <x:f>Products!L11</x:f>
        <x:v>0</x:v>
      </x:c>
    </x:row>
    <x:row r="9" ht="15" hidden="0" customHeight="1">
      <x:c r="A9" s="18" t="str">
        <x:v>SKU-008</x:v>
      </x:c>
      <x:c r="B9" s="18" t="str">
        <x:v>USB WiFi Adapter</x:v>
      </x:c>
      <x:c r="D9" s="18" t="str">
        <x:v>Printer Accessory</x:v>
      </x:c>
      <x:c r="E9" s="19" t="n">
        <x:f>SUMIFS(Sales!$I$5:$I$504,Sales!$F$5:$F$504,$D9,Sales!$J$5:$J$504,"Completed")</x:f>
        <x:v>0</x:v>
      </x:c>
      <x:c r="F9" s="19" t="n">
        <x:f>SUMIFS(Sales!$K$5:$K$504,Sales!$F$5:$F$504,$D9,Sales!$J$5:$J$504,"Completed")</x:f>
        <x:v>0</x:v>
      </x:c>
      <x:c r="G9" s="18" t="n">
        <x:f>SUMIFS(Sales!$D$5:$D$504,Sales!$F$5:$F$504,$D9,Sales!$J$5:$J$504,"Completed")</x:f>
        <x:v>0</x:v>
      </x:c>
      <x:c r="H9" s="19" t="n">
        <x:f>SUMIFS(Products!$M$5:$M$34,Products!$C$5:$C$34,$D9)</x:f>
        <x:v>10080</x:v>
      </x:c>
      <x:c r="I9" s="18" t="n">
        <x:f>SUMIFS(Products!$J$5:$J$34,Products!$C$5:$C$34,$D9)</x:f>
        <x:v>42</x:v>
      </x:c>
      <x:c r="J9" s="18" t="n">
        <x:f>SUMIFS(Products!$L$5:$L$34,Products!$C$5:$C$34,$D9)</x:f>
        <x:v>0</x:v>
      </x:c>
      <x:c r="K9" s="18" t="n">
        <x:f>COUNTIFS(Products!$C$5:$C$34,$D9,Products!$P$5:$P$34,"Reorder")+COUNTIFS(Products!$C$5:$C$34,$D9,Products!$P$5:$P$34,"Out of Stock")</x:f>
        <x:v>0</x:v>
      </x:c>
      <x:c r="M9" s="18" t="str">
        <x:f>Products!B12</x:f>
        <x:v>USB WiFi Adapter</x:v>
      </x:c>
      <x:c r="N9" s="18" t="n">
        <x:f>Products!J12</x:f>
        <x:v>22</x:v>
      </x:c>
      <x:c r="O9" s="18" t="n">
        <x:f>Products!K12</x:f>
        <x:v>8</x:v>
      </x:c>
      <x:c r="P9" s="18" t="n">
        <x:f>Products!L12</x:f>
        <x:v>0</x:v>
      </x:c>
    </x:row>
    <x:row r="10" ht="15" hidden="0" customHeight="1">
      <x:c r="A10" s="18" t="str">
        <x:v>SKU-009</x:v>
      </x:c>
      <x:c r="B10" s="18" t="str">
        <x:v>Bluetooth Headset</x:v>
      </x:c>
      <x:c r="D10" s="18" t="str">
        <x:v>Storage</x:v>
      </x:c>
      <x:c r="E10" s="19" t="n">
        <x:f>SUMIFS(Sales!$I$5:$I$504,Sales!$F$5:$F$504,$D10,Sales!$J$5:$J$504,"Completed")</x:f>
        <x:v>8250</x:v>
      </x:c>
      <x:c r="F10" s="19" t="n">
        <x:f>SUMIFS(Sales!$K$5:$K$504,Sales!$F$5:$F$504,$D10,Sales!$J$5:$J$504,"Completed")</x:f>
        <x:v>3000</x:v>
      </x:c>
      <x:c r="G10" s="18" t="n">
        <x:f>SUMIFS(Sales!$D$5:$D$504,Sales!$F$5:$F$504,$D10,Sales!$J$5:$J$504,"Completed")</x:f>
        <x:v>5</x:v>
      </x:c>
      <x:c r="H10" s="19" t="n">
        <x:f>SUMIFS(Products!$M$5:$M$34,Products!$C$5:$C$34,$D10)</x:f>
        <x:v>123200</x:v>
      </x:c>
      <x:c r="I10" s="18" t="n">
        <x:f>SUMIFS(Products!$J$5:$J$34,Products!$C$5:$C$34,$D10)</x:f>
        <x:v>59</x:v>
      </x:c>
      <x:c r="J10" s="18" t="n">
        <x:f>SUMIFS(Products!$L$5:$L$34,Products!$C$5:$C$34,$D10)</x:f>
        <x:v>0</x:v>
      </x:c>
      <x:c r="K10" s="18" t="n">
        <x:f>COUNTIFS(Products!$C$5:$C$34,$D10,Products!$P$5:$P$34,"Reorder")+COUNTIFS(Products!$C$5:$C$34,$D10,Products!$P$5:$P$34,"Out of Stock")</x:f>
        <x:v>0</x:v>
      </x:c>
      <x:c r="M10" s="18" t="str">
        <x:f>Products!B13</x:f>
        <x:v>Bluetooth Headset</x:v>
      </x:c>
      <x:c r="N10" s="18" t="n">
        <x:f>Products!J13</x:f>
        <x:v>15</x:v>
      </x:c>
      <x:c r="O10" s="18" t="n">
        <x:f>Products!K13</x:f>
        <x:v>6</x:v>
      </x:c>
      <x:c r="P10" s="18" t="n">
        <x:f>Products!L13</x:f>
        <x:v>0</x:v>
      </x:c>
    </x:row>
    <x:row r="11" ht="15" hidden="0" customHeight="1">
      <x:c r="A11" s="18" t="str">
        <x:v>SKU-010</x:v>
      </x:c>
      <x:c r="B11" s="18" t="str">
        <x:v>Webcam 1080p</x:v>
      </x:c>
      <x:c r="D11" s="18" t="str">
        <x:v>Webcam</x:v>
      </x:c>
      <x:c r="E11" s="19" t="n">
        <x:f>SUMIFS(Sales!$I$5:$I$504,Sales!$F$5:$F$504,$D11,Sales!$J$5:$J$504,"Completed")</x:f>
        <x:v>0</x:v>
      </x:c>
      <x:c r="F11" s="19" t="n">
        <x:f>SUMIFS(Sales!$K$5:$K$504,Sales!$F$5:$F$504,$D11,Sales!$J$5:$J$504,"Completed")</x:f>
        <x:v>0</x:v>
      </x:c>
      <x:c r="G11" s="18" t="n">
        <x:f>SUMIFS(Sales!$D$5:$D$504,Sales!$F$5:$F$504,$D11,Sales!$J$5:$J$504,"Completed")</x:f>
        <x:v>0</x:v>
      </x:c>
      <x:c r="H11" s="19" t="n">
        <x:f>SUMIFS(Products!$M$5:$M$34,Products!$C$5:$C$34,$D11)</x:f>
        <x:v>34000</x:v>
      </x:c>
      <x:c r="I11" s="18" t="n">
        <x:f>SUMIFS(Products!$J$5:$J$34,Products!$C$5:$C$34,$D11)</x:f>
        <x:v>10</x:v>
      </x:c>
      <x:c r="J11" s="18" t="n">
        <x:f>SUMIFS(Products!$L$5:$L$34,Products!$C$5:$C$34,$D11)</x:f>
        <x:v>0</x:v>
      </x:c>
      <x:c r="K11" s="18" t="n">
        <x:f>COUNTIFS(Products!$C$5:$C$34,$D11,Products!$P$5:$P$34,"Reorder")+COUNTIFS(Products!$C$5:$C$34,$D11,Products!$P$5:$P$34,"Out of Stock")</x:f>
        <x:v>0</x:v>
      </x:c>
      <x:c r="M11" s="18" t="str">
        <x:f>Products!B14</x:f>
        <x:v>Webcam 1080p</x:v>
      </x:c>
      <x:c r="N11" s="18" t="n">
        <x:f>Products!J14</x:f>
        <x:v>10</x:v>
      </x:c>
      <x:c r="O11" s="18" t="n">
        <x:f>Products!K14</x:f>
        <x:v>4</x:v>
      </x:c>
      <x:c r="P11" s="18" t="n">
        <x:f>Products!L14</x:f>
        <x:v>0</x:v>
      </x:c>
    </x:row>
    <x:row r="12" ht="15" hidden="0" customHeight="1">
      <x:c r="A12" s="18" t="str">
        <x:v>SKU-011</x:v>
      </x:c>
      <x:c r="B12" s="18" t="str">
        <x:v>USB Flash Drive 64GB</x:v>
      </x:c>
      <x:c r="E12" s="23"/>
      <x:c r="F12" s="23"/>
      <x:c r="H12" s="23"/>
      <x:c r="M12" s="18" t="str">
        <x:f>Products!B15</x:f>
        <x:v>USB Flash Drive 64GB</x:v>
      </x:c>
      <x:c r="N12" s="18" t="n">
        <x:f>Products!J15</x:f>
        <x:v>52</x:v>
      </x:c>
      <x:c r="O12" s="18" t="n">
        <x:f>Products!K15</x:f>
        <x:v>15</x:v>
      </x:c>
      <x:c r="P12" s="18" t="n">
        <x:f>Products!L15</x:f>
        <x:v>0</x:v>
      </x:c>
    </x:row>
    <x:row r="13" ht="15" hidden="0" customHeight="1">
      <x:c r="A13" s="18" t="str">
        <x:v>SKU-012</x:v>
      </x:c>
      <x:c r="B13" s="18" t="str">
        <x:v>External SSD 512GB</x:v>
      </x:c>
      <x:c r="E13" s="23"/>
      <x:c r="F13" s="23"/>
      <x:c r="H13" s="23"/>
      <x:c r="M13" s="18" t="str">
        <x:f>Products!B16</x:f>
        <x:v>External SSD 512GB</x:v>
      </x:c>
      <x:c r="N13" s="18" t="n">
        <x:f>Products!J16</x:f>
        <x:v>7</x:v>
      </x:c>
      <x:c r="O13" s="18" t="n">
        <x:f>Products!K16</x:f>
        <x:v>3</x:v>
      </x:c>
      <x:c r="P13" s="18" t="n">
        <x:f>Products!L16</x:f>
        <x:v>0</x:v>
      </x:c>
    </x:row>
    <x:row r="14" ht="15" hidden="0" customHeight="1">
      <x:c r="A14" s="18" t="str">
        <x:v>SKU-013</x:v>
      </x:c>
      <x:c r="B14" s="18" t="str">
        <x:v>Printer USB Cable</x:v>
      </x:c>
      <x:c r="E14" s="23"/>
      <x:c r="F14" s="23"/>
      <x:c r="H14" s="23"/>
      <x:c r="M14" s="18" t="str">
        <x:f>Products!B17</x:f>
        <x:v>Printer USB Cable</x:v>
      </x:c>
      <x:c r="N14" s="18" t="n">
        <x:f>Products!J17</x:f>
        <x:v>42</x:v>
      </x:c>
      <x:c r="O14" s="18" t="n">
        <x:f>Products!K17</x:f>
        <x:v>15</x:v>
      </x:c>
      <x:c r="P14" s="18" t="n">
        <x:f>Products!L17</x:f>
        <x:v>0</x:v>
      </x:c>
    </x:row>
    <x:row r="15" ht="15" hidden="0" customHeight="1">
      <x:c r="A15" s="18" t="str">
        <x:v>SKU-014</x:v>
      </x:c>
      <x:c r="B15" s="18" t="str">
        <x:v>Mouse Pad</x:v>
      </x:c>
      <x:c r="E15" s="23"/>
      <x:c r="F15" s="23"/>
      <x:c r="H15" s="23"/>
      <x:c r="M15" s="18" t="str">
        <x:f>Products!B18</x:f>
        <x:v>Mouse Pad</x:v>
      </x:c>
      <x:c r="N15" s="18" t="n">
        <x:f>Products!J18</x:f>
        <x:v>70</x:v>
      </x:c>
      <x:c r="O15" s="18" t="n">
        <x:f>Products!K18</x:f>
        <x:v>30</x:v>
      </x:c>
      <x:c r="P15" s="18" t="n">
        <x:f>Products!L18</x:f>
        <x:v>0</x:v>
      </x:c>
    </x:row>
    <x:row r="16" ht="15" hidden="0" customHeight="1">
      <x:c r="A16" s="18" t="str">
        <x:v>SKU-015</x:v>
      </x:c>
      <x:c r="B16" s="18" t="str">
        <x:v>Laptop Cooling Pad</x:v>
      </x:c>
      <x:c r="E16" s="23"/>
      <x:c r="F16" s="23"/>
      <x:c r="H16" s="23"/>
      <x:c r="M16" s="18" t="str">
        <x:f>Products!B19</x:f>
        <x:v>Laptop Cooling Pad</x:v>
      </x:c>
      <x:c r="N16" s="18" t="n">
        <x:f>Products!J19</x:f>
        <x:v>14</x:v>
      </x:c>
      <x:c r="O16" s="18" t="n">
        <x:f>Products!K19</x:f>
        <x:v>5</x:v>
      </x:c>
      <x:c r="P16" s="18" t="n">
        <x:f>Products!L19</x:f>
        <x:v>0</x:v>
      </x:c>
    </x:row>
    <x:row r="17" ht="15" hidden="0" customHeight="1">
      <x:c r="E17" s="23"/>
      <x:c r="F17" s="23"/>
      <x:c r="H17" s="23"/>
    </x:row>
    <x:row r="18" ht="15" hidden="0" customHeight="1">
      <x:c r="E18" s="23"/>
      <x:c r="F18" s="23"/>
      <x:c r="H18" s="23"/>
    </x:row>
    <x:row r="19" ht="15" hidden="0" customHeight="1">
      <x:c r="E19" s="23"/>
      <x:c r="F19" s="23"/>
      <x:c r="H19" s="23"/>
    </x:row>
    <x:row r="20" ht="15" hidden="0" customHeight="1">
      <x:c r="E20" s="23"/>
      <x:c r="F20" s="23"/>
      <x:c r="H20" s="23"/>
    </x:row>
  </x:sheetData>
  <x:pageMargins left="0.7" right="0.7" top="0.75" bottom="0.75" header="0.3" footer="0.3"/>
</x:worksheet>
</file>